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C:\Users\a.arabuli\Desktop\"/>
    </mc:Choice>
  </mc:AlternateContent>
  <xr:revisionPtr revIDLastSave="0" documentId="13_ncr:1_{BCA2A793-35C0-4605-BE5E-21AC1A3B43EE}" xr6:coauthVersionLast="47" xr6:coauthVersionMax="47" xr10:uidLastSave="{00000000-0000-0000-0000-000000000000}"/>
  <bookViews>
    <workbookView xWindow="-120" yWindow="-120" windowWidth="29040" windowHeight="15720" tabRatio="746" xr2:uid="{00000000-000D-0000-FFFF-FFFF00000000}"/>
  </bookViews>
  <sheets>
    <sheet name="2026" sheetId="1" r:id="rId1"/>
    <sheet name="ტოპ 15" sheetId="2" r:id="rId2"/>
    <sheet name="ვიზიტის ტიპები" sheetId="12" r:id="rId3"/>
    <sheet name="რეგიონები" sheetId="3" r:id="rId4"/>
    <sheet name="ევროკავშირის ქვეყნები" sheetId="16" r:id="rId5"/>
    <sheet name="საზღვრის ტიპი" sheetId="10" r:id="rId6"/>
    <sheet name="საზღვარი" sheetId="11" r:id="rId7"/>
    <sheet name="დემოგრაფია" sheetId="18" r:id="rId8"/>
    <sheet name="ტერმინები" sheetId="14"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6" i="16" l="1"/>
  <c r="F5" i="16"/>
  <c r="F7" i="12"/>
  <c r="D5" i="16"/>
  <c r="F229" i="1"/>
  <c r="F230" i="1"/>
  <c r="F215" i="1"/>
  <c r="F216" i="1"/>
  <c r="F203" i="1"/>
  <c r="F186" i="1"/>
  <c r="F187" i="1"/>
  <c r="F70" i="1"/>
  <c r="F71" i="1"/>
  <c r="F72" i="1"/>
  <c r="F73" i="1"/>
  <c r="F74" i="1"/>
  <c r="F77" i="1"/>
  <c r="F79" i="1"/>
  <c r="F83" i="1"/>
  <c r="F84" i="1"/>
  <c r="F86" i="1"/>
  <c r="F112" i="1"/>
  <c r="F120" i="1"/>
  <c r="F126" i="1"/>
  <c r="F127" i="1"/>
  <c r="F138" i="1"/>
  <c r="F189" i="1"/>
  <c r="F190" i="1"/>
  <c r="F191" i="1"/>
  <c r="F192" i="1"/>
  <c r="F204" i="1"/>
  <c r="F69" i="1" l="1"/>
  <c r="E68" i="1"/>
  <c r="E6" i="12" l="1"/>
  <c r="E7" i="12"/>
  <c r="E8" i="12"/>
  <c r="E5" i="12"/>
  <c r="C5" i="3"/>
  <c r="F227" i="1"/>
  <c r="F226" i="1"/>
  <c r="F225" i="1"/>
  <c r="F224" i="1"/>
  <c r="F194" i="1"/>
  <c r="F193" i="1"/>
  <c r="F184" i="1"/>
  <c r="F183" i="1"/>
  <c r="F182" i="1"/>
  <c r="F181" i="1"/>
  <c r="F180" i="1"/>
  <c r="F179" i="1"/>
  <c r="F178" i="1"/>
  <c r="F177" i="1"/>
  <c r="F176" i="1"/>
  <c r="F124" i="1"/>
  <c r="F118" i="1"/>
  <c r="F109" i="1"/>
  <c r="F108" i="1"/>
  <c r="F107" i="1"/>
  <c r="F106" i="1"/>
  <c r="F105" i="1"/>
  <c r="F104" i="1"/>
  <c r="F103" i="1"/>
  <c r="F102" i="1"/>
  <c r="F87" i="1"/>
  <c r="E228" i="1"/>
  <c r="E216" i="1"/>
  <c r="E215" i="1"/>
  <c r="E214" i="1"/>
  <c r="F209" i="1"/>
  <c r="E209" i="1"/>
  <c r="F208" i="1"/>
  <c r="E208" i="1"/>
  <c r="F207" i="1"/>
  <c r="E207" i="1"/>
  <c r="F206" i="1"/>
  <c r="E206" i="1"/>
  <c r="F205" i="1"/>
  <c r="E205" i="1"/>
  <c r="E204" i="1"/>
  <c r="E203" i="1"/>
  <c r="E202" i="1"/>
  <c r="F201" i="1"/>
  <c r="E201" i="1"/>
  <c r="F200" i="1"/>
  <c r="E200" i="1"/>
  <c r="E193" i="1"/>
  <c r="E192" i="1"/>
  <c r="E191" i="1"/>
  <c r="E190" i="1"/>
  <c r="E189" i="1"/>
  <c r="E188" i="1"/>
  <c r="E187" i="1"/>
  <c r="E186" i="1"/>
  <c r="E185" i="1"/>
  <c r="E184" i="1"/>
  <c r="E137" i="1"/>
  <c r="E136" i="1"/>
  <c r="E135" i="1"/>
  <c r="E134" i="1"/>
  <c r="E133" i="1"/>
  <c r="E132" i="1"/>
  <c r="E131" i="1"/>
  <c r="E130" i="1"/>
  <c r="E129" i="1"/>
  <c r="E128" i="1"/>
  <c r="E127" i="1"/>
  <c r="E126" i="1"/>
  <c r="E125" i="1"/>
  <c r="E124" i="1"/>
  <c r="E121" i="1"/>
  <c r="E110" i="1"/>
  <c r="E85" i="1"/>
  <c r="E83" i="1"/>
  <c r="E82" i="1"/>
  <c r="E81" i="1"/>
  <c r="E80" i="1"/>
  <c r="E79" i="1"/>
  <c r="E78" i="1"/>
  <c r="E77" i="1"/>
  <c r="E76" i="1"/>
  <c r="E75" i="1"/>
  <c r="E74" i="1"/>
  <c r="E73" i="1"/>
  <c r="E72" i="1"/>
  <c r="E71" i="1"/>
  <c r="E70" i="1"/>
  <c r="E69" i="1"/>
  <c r="F41" i="1"/>
  <c r="F6" i="1"/>
  <c r="H5" i="18" l="1"/>
  <c r="G5" i="11"/>
  <c r="G6" i="12"/>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2" i="1"/>
  <c r="F43" i="1"/>
  <c r="F44" i="1"/>
  <c r="F45" i="1"/>
  <c r="F46" i="1"/>
  <c r="F47" i="1"/>
  <c r="F48" i="1"/>
  <c r="F49" i="1"/>
  <c r="F50" i="1"/>
  <c r="F51" i="1"/>
  <c r="F52" i="1"/>
  <c r="F53" i="1"/>
  <c r="F54" i="1"/>
  <c r="F55" i="1"/>
  <c r="F56" i="1"/>
  <c r="F57" i="1"/>
  <c r="F58" i="1"/>
  <c r="F59" i="1"/>
  <c r="F60" i="1"/>
  <c r="F61" i="1"/>
  <c r="F62" i="1"/>
  <c r="F63" i="1"/>
  <c r="F64" i="1"/>
  <c r="F65" i="1"/>
  <c r="F66" i="1"/>
  <c r="F67" i="1"/>
  <c r="F88" i="1"/>
  <c r="F90" i="1"/>
  <c r="F91" i="1"/>
  <c r="F92" i="1"/>
  <c r="F93" i="1"/>
  <c r="F94" i="1"/>
  <c r="F95" i="1"/>
  <c r="F96" i="1"/>
  <c r="F97" i="1"/>
  <c r="F98" i="1"/>
  <c r="F99" i="1"/>
  <c r="F100" i="1"/>
  <c r="F101" i="1"/>
  <c r="F113" i="1"/>
  <c r="F114" i="1"/>
  <c r="F115" i="1"/>
  <c r="F116" i="1"/>
  <c r="F117" i="1"/>
  <c r="F123"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95" i="1"/>
  <c r="F196" i="1"/>
  <c r="F197" i="1"/>
  <c r="F198" i="1"/>
  <c r="F199" i="1"/>
  <c r="F210" i="1"/>
  <c r="F211" i="1"/>
  <c r="F212" i="1"/>
  <c r="F213" i="1"/>
  <c r="F219" i="1"/>
  <c r="F220" i="1"/>
  <c r="F221" i="1"/>
  <c r="F222" i="1"/>
  <c r="F223" i="1"/>
  <c r="F231" i="1"/>
  <c r="F232" i="1"/>
  <c r="F233" i="1"/>
  <c r="F234"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84" i="1"/>
  <c r="E86" i="1"/>
  <c r="E87" i="1"/>
  <c r="E88" i="1"/>
  <c r="E89" i="1"/>
  <c r="E90" i="1"/>
  <c r="E91" i="1"/>
  <c r="E92" i="1"/>
  <c r="E93" i="1"/>
  <c r="E94" i="1"/>
  <c r="E95" i="1"/>
  <c r="E96" i="1"/>
  <c r="E97" i="1"/>
  <c r="E98" i="1"/>
  <c r="E99" i="1"/>
  <c r="E100" i="1"/>
  <c r="E101" i="1"/>
  <c r="E102" i="1"/>
  <c r="E103" i="1"/>
  <c r="E104" i="1"/>
  <c r="E105" i="1"/>
  <c r="E106" i="1"/>
  <c r="E107" i="1"/>
  <c r="E108" i="1"/>
  <c r="E109" i="1"/>
  <c r="E111" i="1"/>
  <c r="E112" i="1"/>
  <c r="E113" i="1"/>
  <c r="E114" i="1"/>
  <c r="E115" i="1"/>
  <c r="E116" i="1"/>
  <c r="E117" i="1"/>
  <c r="E118" i="1"/>
  <c r="E119" i="1"/>
  <c r="E120" i="1"/>
  <c r="E122" i="1"/>
  <c r="E123"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94" i="1"/>
  <c r="E195" i="1"/>
  <c r="E196" i="1"/>
  <c r="E197" i="1"/>
  <c r="E198" i="1"/>
  <c r="E199" i="1"/>
  <c r="E210" i="1"/>
  <c r="E211" i="1"/>
  <c r="E212" i="1"/>
  <c r="E213" i="1"/>
  <c r="E217" i="1"/>
  <c r="E218" i="1"/>
  <c r="E219" i="1"/>
  <c r="E220" i="1"/>
  <c r="E221" i="1"/>
  <c r="E222" i="1"/>
  <c r="E223" i="1"/>
  <c r="E224" i="1"/>
  <c r="E225" i="1"/>
  <c r="E226" i="1"/>
  <c r="E227" i="1"/>
  <c r="E229" i="1"/>
  <c r="E230" i="1"/>
  <c r="E231" i="1"/>
  <c r="E232" i="1"/>
  <c r="E233" i="1"/>
  <c r="E234" i="1"/>
  <c r="E6" i="1"/>
  <c r="F4" i="1"/>
  <c r="F3" i="1"/>
  <c r="F2" i="1"/>
  <c r="E4" i="1"/>
  <c r="E3" i="1"/>
  <c r="E2" i="1"/>
  <c r="G5" i="10" l="1"/>
  <c r="F23" i="11" l="1"/>
  <c r="D9" i="12" l="1"/>
  <c r="G7" i="12"/>
  <c r="F8" i="12"/>
  <c r="F6" i="12"/>
  <c r="F5" i="12"/>
  <c r="C9" i="12" l="1"/>
  <c r="E9" i="12" s="1"/>
  <c r="G9" i="12" l="1"/>
  <c r="G8" i="12"/>
  <c r="F5" i="11" l="1"/>
  <c r="F9" i="12" l="1"/>
  <c r="F6" i="16" l="1"/>
  <c r="F5" i="2" l="1"/>
  <c r="G6" i="2" l="1"/>
  <c r="G7" i="2"/>
  <c r="G8" i="2"/>
  <c r="G9" i="2"/>
  <c r="G10" i="2"/>
  <c r="G11" i="2"/>
  <c r="G12" i="2"/>
  <c r="G13" i="2"/>
  <c r="G14" i="2"/>
  <c r="G15" i="2"/>
  <c r="G16" i="2"/>
  <c r="G17" i="2"/>
  <c r="G18" i="2"/>
  <c r="G19" i="2"/>
  <c r="G5" i="2"/>
  <c r="G6" i="18" l="1"/>
  <c r="G7" i="18"/>
  <c r="G8" i="18"/>
  <c r="G9" i="18"/>
  <c r="G10" i="18"/>
  <c r="G5" i="18"/>
  <c r="F6" i="18"/>
  <c r="F7" i="18"/>
  <c r="F8" i="18"/>
  <c r="F9" i="18"/>
  <c r="F10" i="18"/>
  <c r="F5" i="18"/>
  <c r="E6" i="11"/>
  <c r="E7" i="11"/>
  <c r="E8" i="11"/>
  <c r="E9" i="11"/>
  <c r="E10" i="11"/>
  <c r="E11" i="11"/>
  <c r="E12" i="11"/>
  <c r="E13" i="11"/>
  <c r="E14" i="11"/>
  <c r="E15" i="11"/>
  <c r="E16" i="11"/>
  <c r="E17" i="11"/>
  <c r="E18" i="11"/>
  <c r="E19" i="11"/>
  <c r="E20" i="11"/>
  <c r="E21" i="11"/>
  <c r="E22" i="11"/>
  <c r="E23" i="11"/>
  <c r="E24" i="11"/>
  <c r="E25" i="11"/>
  <c r="E5" i="11"/>
  <c r="F8" i="10"/>
  <c r="F6" i="10"/>
  <c r="F7" i="10"/>
  <c r="F5" i="10"/>
  <c r="E6" i="10"/>
  <c r="E7" i="10"/>
  <c r="E8" i="10"/>
  <c r="E5" i="10"/>
  <c r="F19" i="16" l="1"/>
  <c r="D5" i="3" l="1"/>
  <c r="E5" i="3" s="1"/>
  <c r="H6" i="18" l="1"/>
  <c r="H7" i="18"/>
  <c r="H8" i="18"/>
  <c r="H9" i="18"/>
  <c r="H10" i="18"/>
  <c r="G6" i="11"/>
  <c r="G7" i="11"/>
  <c r="G8" i="11"/>
  <c r="G9" i="11"/>
  <c r="G10" i="11"/>
  <c r="G11" i="11"/>
  <c r="G12" i="11"/>
  <c r="G13" i="11"/>
  <c r="G14" i="11"/>
  <c r="G15" i="11"/>
  <c r="G16" i="11"/>
  <c r="G17" i="11"/>
  <c r="G18" i="11"/>
  <c r="G19" i="11"/>
  <c r="G20" i="11"/>
  <c r="G21" i="11"/>
  <c r="G22" i="11"/>
  <c r="G23" i="11"/>
  <c r="G24" i="11"/>
  <c r="G25" i="11"/>
  <c r="F6" i="11"/>
  <c r="F7" i="11"/>
  <c r="F8" i="11"/>
  <c r="F9" i="11"/>
  <c r="F10" i="11"/>
  <c r="F11" i="11"/>
  <c r="F12" i="11"/>
  <c r="F13" i="11"/>
  <c r="F14" i="11"/>
  <c r="F15" i="11"/>
  <c r="F16" i="11"/>
  <c r="F17" i="11"/>
  <c r="F18" i="11"/>
  <c r="F19" i="11"/>
  <c r="F20" i="11"/>
  <c r="F21" i="11"/>
  <c r="F22" i="11"/>
  <c r="G8" i="10"/>
  <c r="G7" i="10"/>
  <c r="G6" i="10"/>
  <c r="F22" i="16" l="1"/>
  <c r="F17" i="16"/>
  <c r="F8" i="16"/>
  <c r="F7" i="16"/>
  <c r="F25" i="16"/>
  <c r="F14" i="16"/>
  <c r="F18" i="16"/>
  <c r="F27" i="16"/>
  <c r="F13" i="16"/>
  <c r="F23" i="16"/>
  <c r="F12" i="16"/>
  <c r="F11" i="16"/>
  <c r="F32" i="16"/>
  <c r="F33" i="16"/>
  <c r="F15" i="16"/>
  <c r="F28" i="16"/>
  <c r="F20" i="16"/>
  <c r="F9" i="16"/>
  <c r="F10" i="16"/>
  <c r="F31" i="16"/>
  <c r="F24" i="16"/>
  <c r="F29" i="16"/>
  <c r="F21" i="16"/>
  <c r="F16" i="16"/>
  <c r="F30" i="16"/>
  <c r="E19" i="16"/>
  <c r="E22" i="16"/>
  <c r="E17" i="16"/>
  <c r="E8" i="16"/>
  <c r="E7" i="16"/>
  <c r="E25" i="16"/>
  <c r="E14" i="16"/>
  <c r="E18" i="16"/>
  <c r="E27" i="16"/>
  <c r="E13" i="16"/>
  <c r="E23" i="16"/>
  <c r="E12" i="16"/>
  <c r="E11" i="16"/>
  <c r="E32" i="16"/>
  <c r="E33" i="16"/>
  <c r="E15" i="16"/>
  <c r="E6" i="16"/>
  <c r="E28" i="16"/>
  <c r="E20" i="16"/>
  <c r="E9" i="16"/>
  <c r="E10" i="16"/>
  <c r="E26" i="16"/>
  <c r="E31" i="16"/>
  <c r="E24" i="16"/>
  <c r="E29" i="16"/>
  <c r="E21" i="16"/>
  <c r="E16" i="16"/>
  <c r="E30" i="16"/>
  <c r="F5" i="3"/>
  <c r="F6" i="2"/>
  <c r="F7" i="2"/>
  <c r="F8" i="2"/>
  <c r="F9" i="2"/>
  <c r="F10" i="2"/>
  <c r="F11" i="2"/>
  <c r="F12" i="2"/>
  <c r="F13" i="2"/>
  <c r="F14" i="2"/>
  <c r="F15" i="2"/>
  <c r="F16" i="2"/>
  <c r="F17" i="2"/>
  <c r="F18" i="2"/>
  <c r="F19" i="2"/>
  <c r="G5" i="3" l="1"/>
  <c r="C10" i="3" l="1"/>
  <c r="D10" i="3"/>
  <c r="G10" i="3" s="1"/>
  <c r="C9" i="3"/>
  <c r="D9" i="3"/>
  <c r="G9" i="3" s="1"/>
  <c r="C8" i="3"/>
  <c r="D8" i="3"/>
  <c r="C7" i="3"/>
  <c r="D7" i="3"/>
  <c r="G7" i="3" s="1"/>
  <c r="C6" i="3"/>
  <c r="D6" i="3"/>
  <c r="G6" i="3" s="1"/>
  <c r="F6" i="3" l="1"/>
  <c r="G8" i="3"/>
  <c r="F8" i="3"/>
  <c r="E6" i="3"/>
  <c r="F9" i="3"/>
  <c r="E9" i="3"/>
  <c r="E8" i="3"/>
  <c r="F7" i="3"/>
  <c r="E7" i="3"/>
  <c r="E10" i="3"/>
  <c r="F10" i="3"/>
  <c r="C5" i="16"/>
  <c r="E5" i="16" l="1"/>
</calcChain>
</file>

<file path=xl/sharedStrings.xml><?xml version="1.0" encoding="utf-8"?>
<sst xmlns="http://schemas.openxmlformats.org/spreadsheetml/2006/main" count="393" uniqueCount="297">
  <si>
    <t>ქვეყანა</t>
  </si>
  <si>
    <t>ევროპა</t>
  </si>
  <si>
    <t>ცენტრალური და აღმოსავლეთ ევროპა</t>
  </si>
  <si>
    <t>სომხეთი</t>
  </si>
  <si>
    <t>აზერბაიჯანი</t>
  </si>
  <si>
    <t>ბელარუსი</t>
  </si>
  <si>
    <t>ბულგარეთი</t>
  </si>
  <si>
    <t>ჩეხეთი</t>
  </si>
  <si>
    <t>ესტონეთი</t>
  </si>
  <si>
    <t>უნგრეთი</t>
  </si>
  <si>
    <t>ყაზახეთი</t>
  </si>
  <si>
    <t>ყირგიზეთი</t>
  </si>
  <si>
    <t>ლატვია</t>
  </si>
  <si>
    <t>მოლდოვა</t>
  </si>
  <si>
    <t>პოლონეთი</t>
  </si>
  <si>
    <t>რუმინეთი</t>
  </si>
  <si>
    <t>რუსეთი</t>
  </si>
  <si>
    <t>სლოვაკეთი</t>
  </si>
  <si>
    <t>ტაჯიკეთი</t>
  </si>
  <si>
    <t>თურქმენეთი</t>
  </si>
  <si>
    <t>უკრაინა</t>
  </si>
  <si>
    <t>უზბეკეთი</t>
  </si>
  <si>
    <t>ჩრდილოეთ ევროპა</t>
  </si>
  <si>
    <t>დანია</t>
  </si>
  <si>
    <t>ფინეთი</t>
  </si>
  <si>
    <t>ისლანდია</t>
  </si>
  <si>
    <t>ირლანდია</t>
  </si>
  <si>
    <t>ნორვეგია</t>
  </si>
  <si>
    <t>შვედეთი</t>
  </si>
  <si>
    <t>გაერთიანებული სამეფო</t>
  </si>
  <si>
    <t>სამხრეთ ევროპა</t>
  </si>
  <si>
    <t>ალბანეთი</t>
  </si>
  <si>
    <t>ანდორა</t>
  </si>
  <si>
    <t>ხორვატია</t>
  </si>
  <si>
    <t>საბერძნეთი</t>
  </si>
  <si>
    <t>ვატიკანი</t>
  </si>
  <si>
    <t>იტალია</t>
  </si>
  <si>
    <t>მალტა</t>
  </si>
  <si>
    <t>მონტენეგრო</t>
  </si>
  <si>
    <t>პორტუგალია</t>
  </si>
  <si>
    <t>სან მარინო</t>
  </si>
  <si>
    <t>სლოვენია</t>
  </si>
  <si>
    <t>ესპანეთი</t>
  </si>
  <si>
    <t>დასავლეთ ევროპა</t>
  </si>
  <si>
    <t>ბელგია</t>
  </si>
  <si>
    <t>საფრანგეთი</t>
  </si>
  <si>
    <t>გერმანია</t>
  </si>
  <si>
    <t>ლიხტენშტეინი</t>
  </si>
  <si>
    <t>ლუქსემბურგი</t>
  </si>
  <si>
    <t>ნიდერლანდები</t>
  </si>
  <si>
    <t>შვეიცარია</t>
  </si>
  <si>
    <t>აღმოსავლეთ/ხმელთაშუა ევროპა</t>
  </si>
  <si>
    <t>კვიპროსი</t>
  </si>
  <si>
    <t>ისრაელი</t>
  </si>
  <si>
    <t>თურქეთი</t>
  </si>
  <si>
    <t>ამერიკა</t>
  </si>
  <si>
    <t>კარიბი</t>
  </si>
  <si>
    <t>ანტიგუა და ბარბუდა</t>
  </si>
  <si>
    <t>ბაჰამის კუნძულები</t>
  </si>
  <si>
    <t>ავსტრალია</t>
  </si>
  <si>
    <t>ავსტრია</t>
  </si>
  <si>
    <t>ავღანეთი</t>
  </si>
  <si>
    <t>ალჟირი</t>
  </si>
  <si>
    <t>ამერიკის სამოა</t>
  </si>
  <si>
    <t>ამერიკის შეერთებული შტატები</t>
  </si>
  <si>
    <t>არაბთა გაერთიანებული საემიროები</t>
  </si>
  <si>
    <t>არგენტინა</t>
  </si>
  <si>
    <t>ახალი ზელანდია</t>
  </si>
  <si>
    <t>ბანგლადეში</t>
  </si>
  <si>
    <t>ბაჰრეინი</t>
  </si>
  <si>
    <t>ბოლივია</t>
  </si>
  <si>
    <t>ბრაზილია</t>
  </si>
  <si>
    <t>განა</t>
  </si>
  <si>
    <t>გვინეა</t>
  </si>
  <si>
    <t>დომინიკა</t>
  </si>
  <si>
    <t>დომინიკის რესპუბლიკა</t>
  </si>
  <si>
    <t>ეგვიპტე</t>
  </si>
  <si>
    <t>ეთიოპია</t>
  </si>
  <si>
    <t>ეკვადორი</t>
  </si>
  <si>
    <t>ერაყი</t>
  </si>
  <si>
    <t>ველისი და ფუტუნა</t>
  </si>
  <si>
    <t>ვენესუელა</t>
  </si>
  <si>
    <t>ვიეტნამი</t>
  </si>
  <si>
    <t>ვირჯინიის კუნძულები, დიდი ბრიტანეთი</t>
  </si>
  <si>
    <t>ზამბია</t>
  </si>
  <si>
    <t>ზიმბაბვე</t>
  </si>
  <si>
    <t>იამაიკა</t>
  </si>
  <si>
    <t>იაპონია</t>
  </si>
  <si>
    <t>იემენი</t>
  </si>
  <si>
    <t>ინდოეთი</t>
  </si>
  <si>
    <t>ინდონეზია</t>
  </si>
  <si>
    <t>იორდანია</t>
  </si>
  <si>
    <t>ირანი</t>
  </si>
  <si>
    <t>კაბო-ვერდე</t>
  </si>
  <si>
    <t>კამერუნი</t>
  </si>
  <si>
    <t>კანადა</t>
  </si>
  <si>
    <t>კატარი</t>
  </si>
  <si>
    <t>კენია</t>
  </si>
  <si>
    <t>კონგო</t>
  </si>
  <si>
    <t>კორეის რესპუბლიკა</t>
  </si>
  <si>
    <t>კოსტა-რიკა</t>
  </si>
  <si>
    <t>კოტ-დივუარი</t>
  </si>
  <si>
    <t>კუბა</t>
  </si>
  <si>
    <t>ლიბანი</t>
  </si>
  <si>
    <t>ლიბერია</t>
  </si>
  <si>
    <t>მადაგასკარი</t>
  </si>
  <si>
    <t>მავრიკი</t>
  </si>
  <si>
    <t>მალაიზია</t>
  </si>
  <si>
    <t>მაროკო</t>
  </si>
  <si>
    <t>მარშალის კუნძულები</t>
  </si>
  <si>
    <t>მექსიკა</t>
  </si>
  <si>
    <t>მიანმარი</t>
  </si>
  <si>
    <t>მოზამბიკი</t>
  </si>
  <si>
    <t>მონღოლეთი</t>
  </si>
  <si>
    <t>ნეპალი</t>
  </si>
  <si>
    <t>ნიგერია</t>
  </si>
  <si>
    <t>ნიდერლანდის ანტილები</t>
  </si>
  <si>
    <t>ომანი</t>
  </si>
  <si>
    <t>პაკისტანი</t>
  </si>
  <si>
    <t>პანამა</t>
  </si>
  <si>
    <t>პაპუა ახალი გვინეა</t>
  </si>
  <si>
    <t>პარაგვაი</t>
  </si>
  <si>
    <t>პერუ</t>
  </si>
  <si>
    <t>რუანდა</t>
  </si>
  <si>
    <t>სალვადორი</t>
  </si>
  <si>
    <t>სამხრეთ აფრიკა</t>
  </si>
  <si>
    <t>საუდის არაბეთი</t>
  </si>
  <si>
    <t>საფრანგეთის პოლინეზია</t>
  </si>
  <si>
    <t>სეიშელის კუნძულები</t>
  </si>
  <si>
    <t>სენეგალი</t>
  </si>
  <si>
    <t>სენტ ვინსენტი და გრენადინები</t>
  </si>
  <si>
    <t>სენტ კრისტოფერი და ნევის</t>
  </si>
  <si>
    <t>სიერა-ლეონე</t>
  </si>
  <si>
    <t>სინგაპური</t>
  </si>
  <si>
    <t>სირია</t>
  </si>
  <si>
    <t>სომალი</t>
  </si>
  <si>
    <t>სუდანი</t>
  </si>
  <si>
    <t>სხვა</t>
  </si>
  <si>
    <t>ტაივანი (ჩინეთის პროვინცია)</t>
  </si>
  <si>
    <t>ტაილანდი</t>
  </si>
  <si>
    <t>ტერქსისა და კაიკოსის კუნძულები</t>
  </si>
  <si>
    <t>ტრინიდადი და ტობაგო</t>
  </si>
  <si>
    <t>ტუვალუ</t>
  </si>
  <si>
    <t>ტუნისი</t>
  </si>
  <si>
    <t>უგანდა</t>
  </si>
  <si>
    <t>ურუგვაი</t>
  </si>
  <si>
    <t>ფილიპინები</t>
  </si>
  <si>
    <t>ქუვეითი</t>
  </si>
  <si>
    <t>შრი-ლანკა</t>
  </si>
  <si>
    <t>ჩილე</t>
  </si>
  <si>
    <t>ჩინეთი</t>
  </si>
  <si>
    <t>ჰაიტი</t>
  </si>
  <si>
    <t>ჰონდურასი</t>
  </si>
  <si>
    <t>ანგოლა</t>
  </si>
  <si>
    <t>ბარბადოსი</t>
  </si>
  <si>
    <t>გვატემალა</t>
  </si>
  <si>
    <t>გვინეა-ბისაუ</t>
  </si>
  <si>
    <t>ლიბია</t>
  </si>
  <si>
    <t>მალი</t>
  </si>
  <si>
    <t>ნამიბია</t>
  </si>
  <si>
    <t>ჰონგკონგი, ჩინეთის სახალხო რესპუბლიკა</t>
  </si>
  <si>
    <t>ერიტრეა</t>
  </si>
  <si>
    <t>ვანუატუ</t>
  </si>
  <si>
    <t>ნიგერი</t>
  </si>
  <si>
    <t>ნიკარაგუა</t>
  </si>
  <si>
    <t>ჩრდილოეთ კორეა</t>
  </si>
  <si>
    <t>ბენინი</t>
  </si>
  <si>
    <t>ბოტსვანა</t>
  </si>
  <si>
    <t>ბურუნდი</t>
  </si>
  <si>
    <t>გაბონი</t>
  </si>
  <si>
    <t>გამბია</t>
  </si>
  <si>
    <t>კამბოჯა</t>
  </si>
  <si>
    <t>მავრიტანია</t>
  </si>
  <si>
    <t>მალდივი</t>
  </si>
  <si>
    <t>რეუნიონი</t>
  </si>
  <si>
    <t>სამოა</t>
  </si>
  <si>
    <t>სოლომონის კუნძულები</t>
  </si>
  <si>
    <t>ტანზანია</t>
  </si>
  <si>
    <t>ტონგა</t>
  </si>
  <si>
    <t>ფიჯი</t>
  </si>
  <si>
    <t>ჯიბუტი</t>
  </si>
  <si>
    <t>ნაურუ</t>
  </si>
  <si>
    <t>მალავი</t>
  </si>
  <si>
    <t>ბურკინა-ფასო</t>
  </si>
  <si>
    <t>სვაზილენდი</t>
  </si>
  <si>
    <t>გრენადა</t>
  </si>
  <si>
    <t>ბელიზი</t>
  </si>
  <si>
    <t>ბუტანი</t>
  </si>
  <si>
    <t>კომორის კუნძულები</t>
  </si>
  <si>
    <t>პალაუ</t>
  </si>
  <si>
    <t>სენტ-ლუსია</t>
  </si>
  <si>
    <t>სან-ტომე და პრინსიპი</t>
  </si>
  <si>
    <t>ტოგო</t>
  </si>
  <si>
    <t>ჩადი</t>
  </si>
  <si>
    <t>ლესოტო</t>
  </si>
  <si>
    <t>ცენტრალური ამერ.</t>
  </si>
  <si>
    <t>ჩრდილოეთ ამერ.</t>
  </si>
  <si>
    <t>სამხრეთ ამერ.</t>
  </si>
  <si>
    <t>აღმოსავლეთ აზია/წყნარი ოკეანის აუზი</t>
  </si>
  <si>
    <t>ჩრდილო-აღმოსავლეთ აზია</t>
  </si>
  <si>
    <t>ოკეანეთი</t>
  </si>
  <si>
    <t>სამხრეთ აზია</t>
  </si>
  <si>
    <t>სამხრეთ-აღმოსავლეთ აზია</t>
  </si>
  <si>
    <t>შუა აღმოსავლეთი</t>
  </si>
  <si>
    <t>აფრიკა</t>
  </si>
  <si>
    <t>აღმოსავლეთ აფრიკა</t>
  </si>
  <si>
    <t>დასავლეთ აფრიკა</t>
  </si>
  <si>
    <t>ჩრდილოეთ აფრიკა</t>
  </si>
  <si>
    <t>ცენტრალური აფრიკა</t>
  </si>
  <si>
    <t>წყარო: საქართველოს შინაგან საქმეთა სამინისტრო, საინფორმაციო-ანალიტიკური დეპარტამენტი</t>
  </si>
  <si>
    <t>რეგიონი</t>
  </si>
  <si>
    <t>ბოსნია და ჰერცეგოვინა</t>
  </si>
  <si>
    <t>სერბეთი</t>
  </si>
  <si>
    <t>ახლო/შუა აღმოსავლეთი</t>
  </si>
  <si>
    <t>ტიპი</t>
  </si>
  <si>
    <t>საჰაერო</t>
  </si>
  <si>
    <t>სახმელეთო</t>
  </si>
  <si>
    <t>სარკინიგზო</t>
  </si>
  <si>
    <t>საზღვარი</t>
  </si>
  <si>
    <t>მთლიანი ჯამი</t>
  </si>
  <si>
    <t>ანგილია</t>
  </si>
  <si>
    <t>ბრუნეი დარუსალამი</t>
  </si>
  <si>
    <t>წილი %</t>
  </si>
  <si>
    <t>წილი%</t>
  </si>
  <si>
    <t>ერთდღიანი ვიზიტი</t>
  </si>
  <si>
    <t>პუერტო-რიკო</t>
  </si>
  <si>
    <t>გაიანა</t>
  </si>
  <si>
    <t>ვირჯინიის კუნძულები, ა.შ.შ.</t>
  </si>
  <si>
    <t>კაიმანის კუნძულები</t>
  </si>
  <si>
    <t>ლაოსი</t>
  </si>
  <si>
    <t>მონაკო</t>
  </si>
  <si>
    <t>ცენტრალური აფრიკის რესპუბლიკა</t>
  </si>
  <si>
    <t>მაიოტა</t>
  </si>
  <si>
    <t>საფრანგეთის გვიანა</t>
  </si>
  <si>
    <t>სურინამი</t>
  </si>
  <si>
    <t>ტურისტული ვიზიტი</t>
  </si>
  <si>
    <t>სხვა (არატურისტული)</t>
  </si>
  <si>
    <t>სხვა ვიზიტები (არატურისტული)</t>
  </si>
  <si>
    <t>ტერმინი</t>
  </si>
  <si>
    <t>განსაზღვრება</t>
  </si>
  <si>
    <t>ტურისტული ვიზიტი*</t>
  </si>
  <si>
    <t>ერთდღიანი ვიზიტი*</t>
  </si>
  <si>
    <t>სხვა (არატურისტული)*</t>
  </si>
  <si>
    <r>
      <rPr>
        <b/>
        <sz val="9"/>
        <rFont val="Sylfaen"/>
        <family val="1"/>
        <charset val="204"/>
      </rPr>
      <t>*ტურისტი</t>
    </r>
    <r>
      <rPr>
        <sz val="9"/>
        <rFont val="Sylfaen"/>
        <family val="1"/>
        <charset val="204"/>
      </rPr>
      <t xml:space="preserve"> არის ვიზიტორი, რომელმაც ღამე გაათენა საქართველოს ტერიტორიაზე.</t>
    </r>
  </si>
  <si>
    <r>
      <rPr>
        <b/>
        <sz val="9"/>
        <rFont val="Sylfaen"/>
        <family val="1"/>
        <charset val="204"/>
      </rPr>
      <t>*ვიზიტორი</t>
    </r>
    <r>
      <rPr>
        <sz val="9"/>
        <rFont val="Sylfaen"/>
        <family val="1"/>
        <charset val="204"/>
      </rPr>
      <t xml:space="preserve"> არის 15 წლის ან უფროსი ასაკის საქართველოს არარეზიდენტი მოგზაური, რომელმაც განახორციელა ვიზიტი საკუთარი ჩვეული გარემოდან საქართველოს ტერიტორიაზე ერთ წელზე ნაკლები დროით. საქართველოში ჩვეული გარემოს განსასაზღვრად შემდეგი მეთოდი გამოიყენება, ჩვეულ გარემოში ითვლება ის  ვიზიტები რომელიც თვეში 8-ჯერ ან 8-ზე მეტჯერ ხორციელდება.</t>
    </r>
  </si>
  <si>
    <r>
      <rPr>
        <b/>
        <sz val="9"/>
        <rFont val="Sylfaen"/>
        <family val="1"/>
        <charset val="204"/>
      </rPr>
      <t>*მოგზაური</t>
    </r>
    <r>
      <rPr>
        <sz val="9"/>
        <rFont val="Sylfaen"/>
        <family val="1"/>
        <charset val="204"/>
      </rPr>
      <t xml:space="preserve"> არის ნებისმიერი ასაკის არარეზიდენტი პირი, რომელიც გადაადგილდება სხვადასხვა გეოგრაფიულ არეალს შორის ნებისმიერი ხანგრძლივობითა და მიზნით.  ის გამორიცხავს საქართველოს რეზიდენტ სხვა ქვეყნის მოქალაქეებს და მოიცავს საქართველოს მოქალაქეებს, რომლებიც უცხო ქვეყნის რეზიდენტები არიან.</t>
    </r>
  </si>
  <si>
    <r>
      <t xml:space="preserve">*ერთდღიანი ვიზიტორი (ექსკურსანტი) </t>
    </r>
    <r>
      <rPr>
        <sz val="9"/>
        <rFont val="Sylfaen"/>
        <family val="1"/>
        <charset val="204"/>
      </rPr>
      <t>არის ვიზიტორი, რომელიც ღამეს არ ათენებს საქართველოს ტერიტორიაზე.</t>
    </r>
  </si>
  <si>
    <t>მათ შორის:</t>
  </si>
  <si>
    <t>საერთაშორისო მოგზაურების ვიზიტები</t>
  </si>
  <si>
    <t>საერთაშორისო ვიზიტორების მიერ განხორციელებული ვიზიტები</t>
  </si>
  <si>
    <t>საერთაშორისო არარეზიდენტი მოგზაურების* ვიზიტები</t>
  </si>
  <si>
    <t>საერთაშორისო მოგზაურობის კლასიფიკაცია</t>
  </si>
  <si>
    <r>
      <rPr>
        <b/>
        <sz val="9"/>
        <rFont val="Sylfaen"/>
        <family val="1"/>
        <charset val="204"/>
      </rPr>
      <t>*სხვა კატეგორია</t>
    </r>
    <r>
      <rPr>
        <sz val="9"/>
        <rFont val="Sylfaen"/>
        <family val="1"/>
        <charset val="204"/>
      </rPr>
      <t>- მოიცავს ყველა იმ ვიზიტს, რომელიც არ შედის საერთაშორისო ვიზიტორების მიერ განხორიცელებული ვიზიტების რაოდენობაში. ეს კატეგორია მოიცავს 14 წლის ან უმცროსი ასაკის მოგზაურების ვიზიტებს და ჩვეულ გარემოში განხორციელებულ ვიზიტებს (8 და 8-ზე მეტი თვეში).</t>
    </r>
  </si>
  <si>
    <t>საერთაშორისო ვიზიტორების* მიერ განხორციელებული ვიზიტები</t>
  </si>
  <si>
    <t>გაერო</t>
  </si>
  <si>
    <t>კატეგორია</t>
  </si>
  <si>
    <t>ასაკი</t>
  </si>
  <si>
    <t>15-30</t>
  </si>
  <si>
    <t>31-50</t>
  </si>
  <si>
    <t>51-70</t>
  </si>
  <si>
    <t>71+</t>
  </si>
  <si>
    <t>სქესი</t>
  </si>
  <si>
    <t>კაცი</t>
  </si>
  <si>
    <t>ქალი</t>
  </si>
  <si>
    <t>სარფი</t>
  </si>
  <si>
    <t>თბილისის აეროპორტი</t>
  </si>
  <si>
    <t>ყაზბეგი</t>
  </si>
  <si>
    <t>სადახლო</t>
  </si>
  <si>
    <t>ქუთაისის აეროპორტი</t>
  </si>
  <si>
    <t>ბათუმის აეროპორტი</t>
  </si>
  <si>
    <t>წითელი ხიდი</t>
  </si>
  <si>
    <t>კარწახი</t>
  </si>
  <si>
    <t>ნინოწმინდა</t>
  </si>
  <si>
    <t>ვალე</t>
  </si>
  <si>
    <t>გუგუთი</t>
  </si>
  <si>
    <t>ცოდნა</t>
  </si>
  <si>
    <t>სადახლოს რკინიგზა</t>
  </si>
  <si>
    <t>ფოთის პორტი</t>
  </si>
  <si>
    <t>ბათუმის პორტი</t>
  </si>
  <si>
    <t>ყულევის პორტი</t>
  </si>
  <si>
    <t>გარდაბნის რკინიგზა</t>
  </si>
  <si>
    <t>კარწახის რკინიგზა</t>
  </si>
  <si>
    <t>ახკერპი</t>
  </si>
  <si>
    <t>ვახტანგისი</t>
  </si>
  <si>
    <t>სამთაწყარო</t>
  </si>
  <si>
    <t>საქართველო</t>
  </si>
  <si>
    <t xml:space="preserve">საზღვაო </t>
  </si>
  <si>
    <t>ევროკავშირის ქვეყნები და  გაერთიანებული სამეფო</t>
  </si>
  <si>
    <t>2025 I კვ</t>
  </si>
  <si>
    <t>2026 I კვ</t>
  </si>
  <si>
    <t>ცვლილება 2025/2026</t>
  </si>
  <si>
    <t>ცვლილება  2025/2026 %</t>
  </si>
  <si>
    <t>ვიზიტის ტიპი</t>
  </si>
  <si>
    <t>ლიეტუვა</t>
  </si>
  <si>
    <t>კოლომბია</t>
  </si>
  <si>
    <t>ჩრდილოეთ მაკედონიის რესპუბლიკა</t>
  </si>
  <si>
    <t>აშშ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</si>
</sst>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31" x14ac:knownFonts="1">
    <font>
      <sz val="10"/>
      <name val="Arial"/>
      <family val="2"/>
    </font>
    <font>
      <sz val="11"/>
      <color theme="1"/>
      <name val="Calibri"/>
      <family val="2"/>
      <scheme val="minor"/>
    </font>
    <font>
      <sz val="11"/>
      <color theme="1"/>
      <name val="Calibri"/>
      <family val="2"/>
      <scheme val="minor"/>
    </font>
    <font>
      <sz val="9"/>
      <color indexed="8"/>
      <name val="Calibri"/>
      <family val="2"/>
    </font>
    <font>
      <i/>
      <sz val="9"/>
      <color indexed="8"/>
      <name val="Calibri"/>
      <family val="2"/>
    </font>
    <font>
      <sz val="10"/>
      <name val="Arial"/>
      <family val="2"/>
    </font>
    <font>
      <b/>
      <sz val="11"/>
      <color indexed="8"/>
      <name val="Calibri"/>
      <family val="2"/>
    </font>
    <font>
      <sz val="10"/>
      <name val="Arial"/>
      <family val="2"/>
      <charset val="204"/>
    </font>
    <font>
      <sz val="11"/>
      <color theme="1"/>
      <name val="Calibri"/>
      <family val="2"/>
      <charset val="1"/>
      <scheme val="minor"/>
    </font>
    <font>
      <sz val="9"/>
      <name val="Calibri"/>
      <family val="2"/>
      <charset val="204"/>
      <scheme val="minor"/>
    </font>
    <font>
      <sz val="9"/>
      <color indexed="8"/>
      <name val="Calibri"/>
      <family val="2"/>
      <charset val="204"/>
      <scheme val="minor"/>
    </font>
    <font>
      <sz val="10"/>
      <name val="Calibri"/>
      <family val="2"/>
      <scheme val="minor"/>
    </font>
    <font>
      <b/>
      <sz val="9"/>
      <name val="Calibri"/>
      <family val="2"/>
      <scheme val="minor"/>
    </font>
    <font>
      <sz val="9"/>
      <name val="Calibri"/>
      <family val="2"/>
      <scheme val="minor"/>
    </font>
    <font>
      <i/>
      <sz val="9"/>
      <color indexed="8"/>
      <name val="Calibri"/>
      <family val="2"/>
      <scheme val="minor"/>
    </font>
    <font>
      <sz val="9"/>
      <color theme="1"/>
      <name val="Calibri"/>
      <family val="2"/>
      <charset val="204"/>
      <scheme val="minor"/>
    </font>
    <font>
      <b/>
      <sz val="11"/>
      <color rgb="FFFA7D00"/>
      <name val="Calibri"/>
      <family val="2"/>
      <scheme val="minor"/>
    </font>
    <font>
      <sz val="11"/>
      <color theme="0"/>
      <name val="Calibri"/>
      <family val="2"/>
      <scheme val="minor"/>
    </font>
    <font>
      <b/>
      <sz val="12"/>
      <color indexed="8"/>
      <name val="Calibri"/>
      <family val="2"/>
    </font>
    <font>
      <b/>
      <sz val="12"/>
      <name val="Arial"/>
      <family val="2"/>
      <charset val="204"/>
    </font>
    <font>
      <i/>
      <sz val="9"/>
      <name val="Arial"/>
      <family val="2"/>
      <charset val="204"/>
    </font>
    <font>
      <i/>
      <sz val="9"/>
      <color indexed="8"/>
      <name val="Calibri"/>
      <family val="2"/>
      <charset val="204"/>
      <scheme val="minor"/>
    </font>
    <font>
      <i/>
      <sz val="9"/>
      <name val="Calibri"/>
      <family val="2"/>
      <charset val="204"/>
      <scheme val="minor"/>
    </font>
    <font>
      <b/>
      <sz val="11"/>
      <color theme="0"/>
      <name val="Calibri"/>
      <family val="2"/>
      <scheme val="minor"/>
    </font>
    <font>
      <b/>
      <sz val="11"/>
      <color theme="0"/>
      <name val="Calibri"/>
      <family val="2"/>
      <charset val="204"/>
      <scheme val="minor"/>
    </font>
    <font>
      <sz val="11"/>
      <color theme="0"/>
      <name val="Calibri"/>
      <family val="2"/>
      <charset val="204"/>
      <scheme val="minor"/>
    </font>
    <font>
      <sz val="11"/>
      <color theme="1"/>
      <name val="Calibri"/>
      <family val="2"/>
      <charset val="204"/>
      <scheme val="minor"/>
    </font>
    <font>
      <b/>
      <sz val="9"/>
      <name val="Calibri"/>
      <family val="2"/>
      <charset val="204"/>
      <scheme val="minor"/>
    </font>
    <font>
      <b/>
      <sz val="9"/>
      <name val="Sylfaen"/>
      <family val="1"/>
      <charset val="204"/>
    </font>
    <font>
      <sz val="9"/>
      <name val="Sylfaen"/>
      <family val="1"/>
      <charset val="204"/>
    </font>
    <font>
      <sz val="8"/>
      <name val="Arial"/>
      <family val="2"/>
    </font>
  </fonts>
  <fills count="13">
    <fill>
      <patternFill patternType="none"/>
    </fill>
    <fill>
      <patternFill patternType="gray125"/>
    </fill>
    <fill>
      <patternFill patternType="solid">
        <fgColor theme="0"/>
        <bgColor indexed="64"/>
      </patternFill>
    </fill>
    <fill>
      <patternFill patternType="solid">
        <fgColor theme="0"/>
        <bgColor indexed="0"/>
      </patternFill>
    </fill>
    <fill>
      <patternFill patternType="solid">
        <fgColor rgb="FFF2F2F2"/>
      </patternFill>
    </fill>
    <fill>
      <patternFill patternType="solid">
        <fgColor theme="9"/>
      </patternFill>
    </fill>
    <fill>
      <patternFill patternType="solid">
        <fgColor theme="6"/>
      </patternFill>
    </fill>
    <fill>
      <patternFill patternType="solid">
        <fgColor theme="9" tint="0.79998168889431442"/>
        <bgColor indexed="65"/>
      </patternFill>
    </fill>
    <fill>
      <patternFill patternType="solid">
        <fgColor theme="7" tint="-0.249977111117893"/>
        <bgColor indexed="64"/>
      </patternFill>
    </fill>
    <fill>
      <patternFill patternType="solid">
        <fgColor theme="7"/>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0" tint="-0.249977111117893"/>
        <bgColor indexed="64"/>
      </patternFill>
    </fill>
  </fills>
  <borders count="50">
    <border>
      <left/>
      <right/>
      <top/>
      <bottom/>
      <diagonal/>
    </border>
    <border>
      <left style="dashed">
        <color indexed="64"/>
      </left>
      <right style="dashed">
        <color indexed="64"/>
      </right>
      <top style="dashed">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dashed">
        <color indexed="64"/>
      </bottom>
      <diagonal/>
    </border>
    <border>
      <left style="dashed">
        <color indexed="64"/>
      </left>
      <right style="medium">
        <color indexed="64"/>
      </right>
      <top style="dashed">
        <color indexed="64"/>
      </top>
      <bottom style="medium">
        <color indexed="64"/>
      </bottom>
      <diagonal/>
    </border>
    <border>
      <left style="medium">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hair">
        <color indexed="64"/>
      </left>
      <right/>
      <top style="hair">
        <color indexed="64"/>
      </top>
      <bottom style="hair">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style="thin">
        <color rgb="FF7F7F7F"/>
      </left>
      <right style="thin">
        <color rgb="FF7F7F7F"/>
      </right>
      <top style="thin">
        <color rgb="FF7F7F7F"/>
      </top>
      <bottom style="thin">
        <color rgb="FF7F7F7F"/>
      </bottom>
      <diagonal/>
    </border>
    <border>
      <left style="medium">
        <color indexed="64"/>
      </left>
      <right style="thin">
        <color rgb="FF7F7F7F"/>
      </right>
      <top style="thin">
        <color rgb="FF7F7F7F"/>
      </top>
      <bottom style="thin">
        <color rgb="FF7F7F7F"/>
      </bottom>
      <diagonal/>
    </border>
    <border>
      <left style="medium">
        <color indexed="64"/>
      </left>
      <right style="hair">
        <color indexed="64"/>
      </right>
      <top/>
      <bottom style="hair">
        <color indexed="64"/>
      </bottom>
      <diagonal/>
    </border>
    <border>
      <left style="dashed">
        <color indexed="64"/>
      </left>
      <right style="medium">
        <color indexed="64"/>
      </right>
      <top/>
      <bottom style="dashed">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dashed">
        <color indexed="64"/>
      </left>
      <right style="medium">
        <color indexed="64"/>
      </right>
      <top/>
      <bottom style="medium">
        <color indexed="64"/>
      </bottom>
      <diagonal/>
    </border>
    <border>
      <left style="dashed">
        <color indexed="64"/>
      </left>
      <right style="dotted">
        <color indexed="64"/>
      </right>
      <top style="dashed">
        <color indexed="64"/>
      </top>
      <bottom style="dashed">
        <color indexed="64"/>
      </bottom>
      <diagonal/>
    </border>
    <border>
      <left style="dashed">
        <color indexed="64"/>
      </left>
      <right style="dotted">
        <color indexed="64"/>
      </right>
      <top style="dashed">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dashed">
        <color indexed="64"/>
      </right>
      <top style="medium">
        <color indexed="64"/>
      </top>
      <bottom style="dashed">
        <color indexed="64"/>
      </bottom>
      <diagonal/>
    </border>
    <border>
      <left style="medium">
        <color indexed="64"/>
      </left>
      <right style="medium">
        <color indexed="64"/>
      </right>
      <top/>
      <bottom style="dash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dashed">
        <color indexed="64"/>
      </left>
      <right style="dashed">
        <color indexed="64"/>
      </right>
      <top/>
      <bottom style="dashed">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medium">
        <color indexed="64"/>
      </right>
      <top style="thin">
        <color rgb="FF7F7F7F"/>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dashed">
        <color indexed="64"/>
      </right>
      <top/>
      <bottom style="dashed">
        <color indexed="64"/>
      </bottom>
      <diagonal/>
    </border>
    <border>
      <left/>
      <right style="thin">
        <color indexed="64"/>
      </right>
      <top style="medium">
        <color indexed="64"/>
      </top>
      <bottom style="medium">
        <color indexed="64"/>
      </bottom>
      <diagonal/>
    </border>
    <border>
      <left style="medium">
        <color indexed="64"/>
      </left>
      <right style="dashed">
        <color indexed="64"/>
      </right>
      <top style="medium">
        <color indexed="64"/>
      </top>
      <bottom/>
      <diagonal/>
    </border>
    <border>
      <left style="dashed">
        <color indexed="64"/>
      </left>
      <right style="dashed">
        <color indexed="64"/>
      </right>
      <top style="medium">
        <color indexed="64"/>
      </top>
      <bottom style="dashed">
        <color indexed="64"/>
      </bottom>
      <diagonal/>
    </border>
    <border>
      <left style="medium">
        <color indexed="64"/>
      </left>
      <right style="dashed">
        <color indexed="64"/>
      </right>
      <top/>
      <bottom/>
      <diagonal/>
    </border>
    <border>
      <left style="medium">
        <color indexed="64"/>
      </left>
      <right style="dashed">
        <color indexed="64"/>
      </right>
      <top style="dashed">
        <color indexed="64"/>
      </top>
      <bottom/>
      <diagonal/>
    </border>
    <border>
      <left style="medium">
        <color indexed="64"/>
      </left>
      <right style="dashed">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dashed">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dashed">
        <color indexed="64"/>
      </left>
      <right/>
      <top style="dashed">
        <color indexed="64"/>
      </top>
      <bottom style="dashed">
        <color indexed="64"/>
      </bottom>
      <diagonal/>
    </border>
    <border>
      <left style="dashed">
        <color indexed="64"/>
      </left>
      <right/>
      <top style="dashed">
        <color indexed="64"/>
      </top>
      <bottom style="medium">
        <color indexed="64"/>
      </bottom>
      <diagonal/>
    </border>
    <border>
      <left style="thin">
        <color indexed="64"/>
      </left>
      <right style="medium">
        <color indexed="64"/>
      </right>
      <top style="thin">
        <color indexed="64"/>
      </top>
      <bottom style="thin">
        <color indexed="64"/>
      </bottom>
      <diagonal/>
    </border>
  </borders>
  <cellStyleXfs count="10">
    <xf numFmtId="0" fontId="0" fillId="0" borderId="0">
      <alignment vertical="center"/>
    </xf>
    <xf numFmtId="164" fontId="7" fillId="0" borderId="0" applyFont="0" applyFill="0" applyBorder="0" applyAlignment="0" applyProtection="0"/>
    <xf numFmtId="0" fontId="7" fillId="0" borderId="0"/>
    <xf numFmtId="9" fontId="5" fillId="0" borderId="0" applyFont="0" applyFill="0" applyBorder="0" applyAlignment="0" applyProtection="0">
      <alignment vertical="center"/>
    </xf>
    <xf numFmtId="9" fontId="8" fillId="0" borderId="0" applyFont="0" applyFill="0" applyBorder="0" applyAlignment="0" applyProtection="0"/>
    <xf numFmtId="9" fontId="7" fillId="0" borderId="0" applyFont="0" applyFill="0" applyBorder="0" applyAlignment="0" applyProtection="0"/>
    <xf numFmtId="0" fontId="16" fillId="4" borderId="12" applyNumberFormat="0" applyAlignment="0" applyProtection="0"/>
    <xf numFmtId="0" fontId="17" fillId="5" borderId="0" applyNumberFormat="0" applyBorder="0" applyAlignment="0" applyProtection="0"/>
    <xf numFmtId="0" fontId="17" fillId="6" borderId="0" applyNumberFormat="0" applyBorder="0" applyAlignment="0" applyProtection="0"/>
    <xf numFmtId="0" fontId="2" fillId="7" borderId="0" applyNumberFormat="0" applyBorder="0" applyAlignment="0" applyProtection="0"/>
  </cellStyleXfs>
  <cellXfs count="171">
    <xf numFmtId="0" fontId="0" fillId="0" borderId="0" xfId="0">
      <alignment vertical="center"/>
    </xf>
    <xf numFmtId="0" fontId="4" fillId="0" borderId="0" xfId="0" applyNumberFormat="1" applyFont="1" applyFill="1" applyAlignment="1"/>
    <xf numFmtId="0" fontId="0" fillId="0" borderId="0" xfId="0" applyNumberFormat="1" applyFont="1" applyFill="1" applyBorder="1" applyAlignment="1">
      <alignment wrapText="1"/>
    </xf>
    <xf numFmtId="0" fontId="3" fillId="0" borderId="0" xfId="0" applyNumberFormat="1" applyFont="1" applyFill="1" applyBorder="1" applyAlignment="1">
      <alignment horizontal="center" vertical="center"/>
    </xf>
    <xf numFmtId="1" fontId="3" fillId="0" borderId="0" xfId="0" applyNumberFormat="1" applyFont="1" applyFill="1" applyBorder="1" applyAlignment="1">
      <alignment horizontal="center" vertical="center"/>
    </xf>
    <xf numFmtId="0" fontId="9" fillId="0" borderId="0" xfId="0" applyFont="1" applyAlignment="1">
      <alignment horizontal="center" vertical="center"/>
    </xf>
    <xf numFmtId="0" fontId="11" fillId="0" borderId="0" xfId="0" applyFont="1">
      <alignment vertical="center"/>
    </xf>
    <xf numFmtId="0" fontId="11" fillId="0" borderId="0" xfId="0" applyNumberFormat="1" applyFont="1" applyFill="1" applyBorder="1" applyAlignment="1">
      <alignment wrapText="1"/>
    </xf>
    <xf numFmtId="0" fontId="14" fillId="0" borderId="0" xfId="0" applyNumberFormat="1" applyFont="1" applyFill="1" applyAlignment="1"/>
    <xf numFmtId="0" fontId="9" fillId="0" borderId="0" xfId="0" applyFont="1" applyAlignment="1">
      <alignment horizontal="center" vertical="center"/>
    </xf>
    <xf numFmtId="0" fontId="9" fillId="0" borderId="0" xfId="0" applyFont="1" applyAlignment="1">
      <alignment horizontal="center" vertical="center"/>
    </xf>
    <xf numFmtId="0" fontId="0" fillId="0" borderId="0" xfId="0" applyAlignment="1"/>
    <xf numFmtId="3" fontId="12" fillId="0" borderId="9" xfId="2" applyNumberFormat="1" applyFont="1" applyFill="1" applyBorder="1" applyAlignment="1">
      <alignment horizontal="center"/>
    </xf>
    <xf numFmtId="0" fontId="9" fillId="0" borderId="0" xfId="0" applyFont="1" applyAlignment="1">
      <alignment horizontal="center" vertical="center"/>
    </xf>
    <xf numFmtId="0" fontId="13" fillId="0" borderId="10" xfId="2" applyFont="1" applyBorder="1" applyAlignment="1">
      <alignment horizontal="center" vertical="center"/>
    </xf>
    <xf numFmtId="3" fontId="9" fillId="3" borderId="1" xfId="0" applyNumberFormat="1" applyFont="1" applyFill="1" applyBorder="1" applyAlignment="1" applyProtection="1">
      <alignment horizontal="center" vertical="center" wrapText="1"/>
      <protection locked="0"/>
    </xf>
    <xf numFmtId="3" fontId="13" fillId="0" borderId="1" xfId="2" applyNumberFormat="1" applyFont="1" applyBorder="1" applyAlignment="1">
      <alignment horizontal="center" vertical="center"/>
    </xf>
    <xf numFmtId="3" fontId="13" fillId="0" borderId="1" xfId="4" applyNumberFormat="1" applyFont="1" applyBorder="1" applyAlignment="1">
      <alignment horizontal="center" vertical="center"/>
    </xf>
    <xf numFmtId="3" fontId="13" fillId="0" borderId="4" xfId="2" applyNumberFormat="1" applyFont="1" applyBorder="1" applyAlignment="1">
      <alignment horizontal="center" vertical="center"/>
    </xf>
    <xf numFmtId="3" fontId="13" fillId="0" borderId="4" xfId="4" applyNumberFormat="1" applyFont="1" applyBorder="1" applyAlignment="1">
      <alignment horizontal="center" vertical="center"/>
    </xf>
    <xf numFmtId="0" fontId="9" fillId="0" borderId="0" xfId="0" applyFont="1" applyAlignment="1">
      <alignment horizontal="center" vertical="center"/>
    </xf>
    <xf numFmtId="0" fontId="9" fillId="0" borderId="14" xfId="0" applyNumberFormat="1" applyFont="1" applyFill="1" applyBorder="1" applyAlignment="1">
      <alignment horizontal="center" vertical="center" wrapText="1"/>
    </xf>
    <xf numFmtId="0" fontId="9" fillId="0" borderId="16" xfId="0" applyNumberFormat="1" applyFont="1" applyFill="1" applyBorder="1" applyAlignment="1">
      <alignment horizontal="center" vertical="center" wrapText="1"/>
    </xf>
    <xf numFmtId="0" fontId="9" fillId="0" borderId="17" xfId="0" applyNumberFormat="1" applyFont="1" applyFill="1" applyBorder="1" applyAlignment="1">
      <alignment horizontal="center" vertical="center" wrapText="1"/>
    </xf>
    <xf numFmtId="0" fontId="18" fillId="0" borderId="0" xfId="0" applyNumberFormat="1" applyFont="1" applyFill="1" applyAlignment="1"/>
    <xf numFmtId="3" fontId="10" fillId="0" borderId="1" xfId="0" applyNumberFormat="1" applyFont="1" applyFill="1" applyBorder="1" applyAlignment="1">
      <alignment horizontal="center" vertical="center"/>
    </xf>
    <xf numFmtId="3" fontId="10" fillId="0" borderId="4" xfId="0" applyNumberFormat="1" applyFont="1" applyFill="1" applyBorder="1" applyAlignment="1">
      <alignment horizontal="center" vertical="center"/>
    </xf>
    <xf numFmtId="165" fontId="10" fillId="2" borderId="15" xfId="3" applyNumberFormat="1" applyFont="1" applyFill="1" applyBorder="1" applyAlignment="1">
      <alignment horizontal="center" vertical="center"/>
    </xf>
    <xf numFmtId="165" fontId="10" fillId="2" borderId="18" xfId="3" applyNumberFormat="1" applyFont="1" applyFill="1" applyBorder="1" applyAlignment="1">
      <alignment horizontal="center" vertical="center"/>
    </xf>
    <xf numFmtId="165" fontId="9" fillId="0" borderId="19" xfId="3" applyNumberFormat="1" applyFont="1" applyFill="1" applyBorder="1" applyAlignment="1">
      <alignment horizontal="center" vertical="center"/>
    </xf>
    <xf numFmtId="165" fontId="9" fillId="0" borderId="20" xfId="3" applyNumberFormat="1" applyFont="1" applyFill="1" applyBorder="1" applyAlignment="1">
      <alignment horizontal="center" vertical="center"/>
    </xf>
    <xf numFmtId="3" fontId="13" fillId="0" borderId="2" xfId="2" applyNumberFormat="1" applyFont="1" applyBorder="1" applyAlignment="1">
      <alignment horizontal="center" vertical="center"/>
    </xf>
    <xf numFmtId="3" fontId="13" fillId="0" borderId="3" xfId="2" applyNumberFormat="1" applyFont="1" applyBorder="1" applyAlignment="1">
      <alignment horizontal="center" vertical="center"/>
    </xf>
    <xf numFmtId="0" fontId="10" fillId="0" borderId="2" xfId="0" applyNumberFormat="1" applyFont="1" applyFill="1" applyBorder="1" applyAlignment="1">
      <alignment horizontal="center" vertical="center"/>
    </xf>
    <xf numFmtId="0" fontId="10" fillId="0" borderId="2"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xf>
    <xf numFmtId="0" fontId="20" fillId="0" borderId="0" xfId="0" applyFont="1">
      <alignment vertical="center"/>
    </xf>
    <xf numFmtId="0" fontId="13" fillId="0" borderId="23" xfId="2" applyFont="1" applyBorder="1" applyAlignment="1">
      <alignment horizontal="center" vertical="center"/>
    </xf>
    <xf numFmtId="3" fontId="15" fillId="2" borderId="24" xfId="0" applyNumberFormat="1" applyFont="1" applyFill="1" applyBorder="1" applyAlignment="1">
      <alignment horizontal="center" vertical="center"/>
    </xf>
    <xf numFmtId="3" fontId="13" fillId="0" borderId="0" xfId="2" applyNumberFormat="1" applyFont="1" applyBorder="1" applyAlignment="1">
      <alignment horizontal="center" vertical="center"/>
    </xf>
    <xf numFmtId="0" fontId="13" fillId="0" borderId="0" xfId="2" applyFont="1" applyBorder="1" applyAlignment="1">
      <alignment horizontal="center" vertical="center"/>
    </xf>
    <xf numFmtId="0" fontId="17" fillId="8" borderId="21" xfId="7" applyNumberFormat="1" applyFill="1" applyBorder="1" applyAlignment="1">
      <alignment horizontal="center" vertical="center" wrapText="1"/>
    </xf>
    <xf numFmtId="0" fontId="24" fillId="8" borderId="22" xfId="7" applyNumberFormat="1" applyFont="1" applyFill="1" applyBorder="1" applyAlignment="1">
      <alignment horizontal="center" vertical="center" wrapText="1"/>
    </xf>
    <xf numFmtId="0" fontId="24" fillId="8" borderId="25" xfId="7" applyNumberFormat="1" applyFont="1" applyFill="1" applyBorder="1" applyAlignment="1">
      <alignment horizontal="center" vertical="center" wrapText="1"/>
    </xf>
    <xf numFmtId="0" fontId="24" fillId="8" borderId="8" xfId="7" applyNumberFormat="1" applyFont="1" applyFill="1" applyBorder="1" applyAlignment="1">
      <alignment horizontal="center" vertical="center" wrapText="1"/>
    </xf>
    <xf numFmtId="0" fontId="24" fillId="8" borderId="7" xfId="7" applyNumberFormat="1" applyFont="1" applyFill="1" applyBorder="1" applyAlignment="1">
      <alignment horizontal="center" vertical="center" wrapText="1"/>
    </xf>
    <xf numFmtId="0" fontId="23" fillId="9" borderId="13" xfId="6" applyNumberFormat="1" applyFont="1" applyFill="1" applyBorder="1" applyAlignment="1">
      <alignment horizontal="center" vertical="center"/>
    </xf>
    <xf numFmtId="3" fontId="23" fillId="9" borderId="12" xfId="6" applyNumberFormat="1" applyFont="1" applyFill="1" applyBorder="1" applyAlignment="1">
      <alignment horizontal="center" vertical="center"/>
    </xf>
    <xf numFmtId="3" fontId="23" fillId="9" borderId="24" xfId="6" applyNumberFormat="1" applyFont="1" applyFill="1" applyBorder="1" applyAlignment="1">
      <alignment horizontal="center" vertical="center"/>
    </xf>
    <xf numFmtId="3" fontId="17" fillId="10" borderId="24" xfId="8" applyNumberFormat="1" applyFill="1" applyBorder="1" applyAlignment="1">
      <alignment horizontal="center" vertical="center" wrapText="1"/>
    </xf>
    <xf numFmtId="3" fontId="23" fillId="10" borderId="24" xfId="6" applyNumberFormat="1" applyFont="1" applyFill="1" applyBorder="1" applyAlignment="1">
      <alignment horizontal="center" vertical="center"/>
    </xf>
    <xf numFmtId="0" fontId="1" fillId="11" borderId="24" xfId="9" applyNumberFormat="1" applyFont="1" applyFill="1" applyBorder="1" applyAlignment="1">
      <alignment horizontal="center" vertical="center"/>
    </xf>
    <xf numFmtId="3" fontId="1" fillId="11" borderId="24" xfId="9" applyNumberFormat="1" applyFont="1" applyFill="1" applyBorder="1" applyAlignment="1">
      <alignment horizontal="center" vertical="center"/>
    </xf>
    <xf numFmtId="3" fontId="25" fillId="10" borderId="24" xfId="0" applyNumberFormat="1" applyFont="1" applyFill="1" applyBorder="1" applyAlignment="1">
      <alignment horizontal="center" vertical="center"/>
    </xf>
    <xf numFmtId="3" fontId="26" fillId="11" borderId="24" xfId="9" applyNumberFormat="1" applyFont="1" applyFill="1" applyBorder="1" applyAlignment="1">
      <alignment horizontal="center" vertical="center"/>
    </xf>
    <xf numFmtId="3" fontId="17" fillId="10" borderId="24" xfId="8" applyNumberFormat="1" applyFill="1" applyBorder="1" applyAlignment="1">
      <alignment horizontal="center" vertical="center"/>
    </xf>
    <xf numFmtId="3" fontId="26" fillId="11" borderId="24" xfId="0" applyNumberFormat="1" applyFont="1" applyFill="1" applyBorder="1" applyAlignment="1">
      <alignment horizontal="center" vertical="center"/>
    </xf>
    <xf numFmtId="3" fontId="24" fillId="8" borderId="24" xfId="7" applyNumberFormat="1" applyFont="1" applyFill="1" applyBorder="1" applyAlignment="1">
      <alignment horizontal="center" vertical="center" wrapText="1"/>
    </xf>
    <xf numFmtId="3" fontId="24" fillId="12" borderId="24" xfId="7" applyNumberFormat="1" applyFont="1" applyFill="1" applyBorder="1" applyAlignment="1">
      <alignment horizontal="center" vertical="center" wrapText="1"/>
    </xf>
    <xf numFmtId="3" fontId="27" fillId="0" borderId="24" xfId="2" applyNumberFormat="1" applyFont="1" applyBorder="1" applyAlignment="1">
      <alignment horizontal="left" vertical="center" wrapText="1"/>
    </xf>
    <xf numFmtId="0" fontId="29" fillId="0" borderId="24" xfId="0" applyFont="1" applyBorder="1" applyAlignment="1">
      <alignment horizontal="left" vertical="top" wrapText="1"/>
    </xf>
    <xf numFmtId="3" fontId="13" fillId="0" borderId="24" xfId="2" applyNumberFormat="1" applyFont="1" applyBorder="1" applyAlignment="1">
      <alignment horizontal="center" vertical="center"/>
    </xf>
    <xf numFmtId="0" fontId="28" fillId="0" borderId="24" xfId="0" applyFont="1" applyBorder="1" applyAlignment="1">
      <alignment vertical="center" wrapText="1"/>
    </xf>
    <xf numFmtId="3" fontId="27" fillId="0" borderId="24" xfId="2" applyNumberFormat="1" applyFont="1" applyBorder="1" applyAlignment="1">
      <alignment horizontal="left" vertical="center"/>
    </xf>
    <xf numFmtId="0" fontId="29" fillId="0" borderId="24" xfId="0" applyFont="1" applyBorder="1" applyAlignment="1">
      <alignment horizontal="justify" vertical="center"/>
    </xf>
    <xf numFmtId="0" fontId="29" fillId="0" borderId="24" xfId="0" applyFont="1" applyBorder="1">
      <alignment vertical="center"/>
    </xf>
    <xf numFmtId="165" fontId="9" fillId="0" borderId="0" xfId="3" applyNumberFormat="1" applyFont="1" applyAlignment="1">
      <alignment horizontal="center" vertical="center"/>
    </xf>
    <xf numFmtId="0" fontId="9" fillId="0" borderId="2" xfId="0" applyNumberFormat="1" applyFont="1" applyFill="1" applyBorder="1" applyAlignment="1">
      <alignment horizontal="center" vertical="center" wrapText="1"/>
    </xf>
    <xf numFmtId="0" fontId="9" fillId="0" borderId="3" xfId="0" applyNumberFormat="1" applyFont="1" applyFill="1" applyBorder="1" applyAlignment="1">
      <alignment horizontal="center" vertical="center" wrapText="1"/>
    </xf>
    <xf numFmtId="3" fontId="9" fillId="3" borderId="4" xfId="0" applyNumberFormat="1" applyFont="1" applyFill="1" applyBorder="1" applyAlignment="1" applyProtection="1">
      <alignment horizontal="center" vertical="center" wrapText="1"/>
      <protection locked="0"/>
    </xf>
    <xf numFmtId="3" fontId="13" fillId="0" borderId="26" xfId="4" applyNumberFormat="1" applyFont="1" applyBorder="1" applyAlignment="1">
      <alignment horizontal="center" vertical="center"/>
    </xf>
    <xf numFmtId="165" fontId="13" fillId="0" borderId="5" xfId="3" applyNumberFormat="1" applyFont="1" applyBorder="1" applyAlignment="1">
      <alignment horizontal="center" vertical="center"/>
    </xf>
    <xf numFmtId="165" fontId="13" fillId="0" borderId="6" xfId="3" applyNumberFormat="1" applyFont="1" applyBorder="1" applyAlignment="1">
      <alignment horizontal="center" vertical="center"/>
    </xf>
    <xf numFmtId="165" fontId="9" fillId="0" borderId="5" xfId="3" applyNumberFormat="1" applyFont="1" applyFill="1" applyBorder="1" applyAlignment="1">
      <alignment horizontal="center" vertical="center"/>
    </xf>
    <xf numFmtId="165" fontId="9" fillId="0" borderId="6" xfId="3" applyNumberFormat="1" applyFont="1" applyFill="1" applyBorder="1" applyAlignment="1">
      <alignment horizontal="center" vertical="center"/>
    </xf>
    <xf numFmtId="0" fontId="24" fillId="8" borderId="31" xfId="7" applyNumberFormat="1" applyFont="1" applyFill="1" applyBorder="1" applyAlignment="1">
      <alignment horizontal="center" vertical="center" wrapText="1"/>
    </xf>
    <xf numFmtId="3" fontId="13" fillId="0" borderId="36" xfId="2" applyNumberFormat="1" applyFont="1" applyBorder="1" applyAlignment="1">
      <alignment horizontal="center" vertical="center"/>
    </xf>
    <xf numFmtId="0" fontId="24" fillId="12" borderId="40" xfId="7" applyNumberFormat="1" applyFont="1" applyFill="1" applyBorder="1" applyAlignment="1">
      <alignment horizontal="center" vertical="center" wrapText="1"/>
    </xf>
    <xf numFmtId="3" fontId="23" fillId="9" borderId="40" xfId="6" applyNumberFormat="1" applyFont="1" applyFill="1" applyBorder="1" applyAlignment="1">
      <alignment horizontal="center" vertical="center" wrapText="1"/>
    </xf>
    <xf numFmtId="3" fontId="17" fillId="10" borderId="40" xfId="8" applyNumberFormat="1" applyFill="1" applyBorder="1" applyAlignment="1">
      <alignment horizontal="center" vertical="center" wrapText="1"/>
    </xf>
    <xf numFmtId="0" fontId="1" fillId="11" borderId="40" xfId="9" applyNumberFormat="1" applyFont="1" applyFill="1" applyBorder="1" applyAlignment="1">
      <alignment horizontal="center" vertical="center"/>
    </xf>
    <xf numFmtId="0" fontId="9" fillId="0" borderId="40" xfId="0" applyNumberFormat="1" applyFont="1" applyFill="1" applyBorder="1" applyAlignment="1">
      <alignment horizontal="center" vertical="center" wrapText="1"/>
    </xf>
    <xf numFmtId="0" fontId="9" fillId="0" borderId="40" xfId="0" applyNumberFormat="1" applyFont="1" applyFill="1" applyBorder="1" applyAlignment="1">
      <alignment horizontal="center" vertical="center"/>
    </xf>
    <xf numFmtId="1" fontId="9" fillId="3" borderId="40" xfId="0" applyNumberFormat="1" applyFont="1" applyFill="1" applyBorder="1" applyAlignment="1" applyProtection="1">
      <alignment horizontal="center" vertical="center" wrapText="1"/>
      <protection locked="0"/>
    </xf>
    <xf numFmtId="0" fontId="9" fillId="3" borderId="40" xfId="0" applyNumberFormat="1" applyFont="1" applyFill="1" applyBorder="1" applyAlignment="1" applyProtection="1">
      <alignment horizontal="center" vertical="center" wrapText="1"/>
      <protection locked="0"/>
    </xf>
    <xf numFmtId="0" fontId="9" fillId="0" borderId="40" xfId="0" applyNumberFormat="1" applyFont="1" applyFill="1" applyBorder="1" applyAlignment="1" applyProtection="1">
      <alignment horizontal="center" vertical="center" wrapText="1"/>
      <protection locked="0"/>
    </xf>
    <xf numFmtId="0" fontId="17" fillId="10" borderId="40" xfId="8" applyNumberFormat="1" applyFill="1" applyBorder="1" applyAlignment="1">
      <alignment horizontal="center" vertical="center"/>
    </xf>
    <xf numFmtId="1" fontId="9" fillId="2" borderId="40" xfId="0" applyNumberFormat="1" applyFont="1" applyFill="1" applyBorder="1" applyAlignment="1">
      <alignment horizontal="center" vertical="center"/>
    </xf>
    <xf numFmtId="0" fontId="9" fillId="2" borderId="40" xfId="0" applyNumberFormat="1" applyFont="1" applyFill="1" applyBorder="1" applyAlignment="1">
      <alignment horizontal="center" vertical="center"/>
    </xf>
    <xf numFmtId="0" fontId="9" fillId="2" borderId="40" xfId="0" applyNumberFormat="1" applyFont="1" applyFill="1" applyBorder="1" applyAlignment="1">
      <alignment horizontal="center" vertical="center" wrapText="1"/>
    </xf>
    <xf numFmtId="0" fontId="9" fillId="0" borderId="41" xfId="0" applyNumberFormat="1" applyFont="1" applyFill="1" applyBorder="1" applyAlignment="1">
      <alignment horizontal="center" vertical="center" wrapText="1"/>
    </xf>
    <xf numFmtId="3" fontId="15" fillId="2" borderId="42" xfId="0" applyNumberFormat="1" applyFont="1" applyFill="1" applyBorder="1" applyAlignment="1">
      <alignment horizontal="center" vertical="center"/>
    </xf>
    <xf numFmtId="165" fontId="24" fillId="8" borderId="32" xfId="3" applyNumberFormat="1" applyFont="1" applyFill="1" applyBorder="1" applyAlignment="1">
      <alignment horizontal="center" vertical="center" wrapText="1"/>
    </xf>
    <xf numFmtId="3" fontId="9" fillId="0" borderId="0" xfId="0" applyNumberFormat="1" applyFont="1" applyAlignment="1">
      <alignment horizontal="center" vertical="center"/>
    </xf>
    <xf numFmtId="0" fontId="24" fillId="8" borderId="43" xfId="7" applyNumberFormat="1" applyFont="1" applyFill="1" applyBorder="1" applyAlignment="1">
      <alignment horizontal="center" vertical="center" wrapText="1"/>
    </xf>
    <xf numFmtId="0" fontId="14" fillId="0" borderId="0" xfId="0" applyNumberFormat="1" applyFont="1" applyFill="1" applyAlignment="1">
      <alignment horizontal="center"/>
    </xf>
    <xf numFmtId="0" fontId="24" fillId="8" borderId="44" xfId="7" applyNumberFormat="1" applyFont="1" applyFill="1" applyBorder="1" applyAlignment="1">
      <alignment horizontal="center" vertical="center" wrapText="1"/>
    </xf>
    <xf numFmtId="0" fontId="24" fillId="8" borderId="45" xfId="7" applyNumberFormat="1" applyFont="1" applyFill="1" applyBorder="1" applyAlignment="1">
      <alignment horizontal="center" vertical="center" wrapText="1"/>
    </xf>
    <xf numFmtId="0" fontId="24" fillId="8" borderId="46" xfId="7" applyNumberFormat="1" applyFont="1" applyFill="1" applyBorder="1" applyAlignment="1">
      <alignment horizontal="center" vertical="center" wrapText="1"/>
    </xf>
    <xf numFmtId="3" fontId="27" fillId="0" borderId="2" xfId="4" applyNumberFormat="1" applyFont="1" applyBorder="1" applyAlignment="1">
      <alignment horizontal="left" vertical="center"/>
    </xf>
    <xf numFmtId="3" fontId="27" fillId="0" borderId="2" xfId="4" applyNumberFormat="1" applyFont="1" applyBorder="1" applyAlignment="1">
      <alignment horizontal="left" vertical="center" wrapText="1"/>
    </xf>
    <xf numFmtId="3" fontId="13" fillId="0" borderId="2" xfId="4" applyNumberFormat="1" applyFont="1" applyBorder="1" applyAlignment="1">
      <alignment horizontal="center" vertical="center"/>
    </xf>
    <xf numFmtId="3" fontId="27" fillId="0" borderId="3" xfId="4" applyNumberFormat="1" applyFont="1" applyBorder="1" applyAlignment="1">
      <alignment horizontal="left" vertical="center"/>
    </xf>
    <xf numFmtId="3" fontId="10" fillId="0" borderId="47" xfId="0" applyNumberFormat="1" applyFont="1" applyFill="1" applyBorder="1" applyAlignment="1">
      <alignment horizontal="center" vertical="center"/>
    </xf>
    <xf numFmtId="3" fontId="10" fillId="0" borderId="48" xfId="0" applyNumberFormat="1" applyFont="1" applyFill="1" applyBorder="1" applyAlignment="1">
      <alignment horizontal="center" vertical="center"/>
    </xf>
    <xf numFmtId="0" fontId="24" fillId="8" borderId="40" xfId="7" applyNumberFormat="1" applyFont="1" applyFill="1" applyBorder="1" applyAlignment="1">
      <alignment horizontal="left" vertical="center" wrapText="1"/>
    </xf>
    <xf numFmtId="3" fontId="23" fillId="9" borderId="40" xfId="6" applyNumberFormat="1" applyFont="1" applyFill="1" applyBorder="1" applyAlignment="1">
      <alignment horizontal="left" vertical="center" wrapText="1"/>
    </xf>
    <xf numFmtId="0" fontId="0" fillId="0" borderId="0" xfId="0" applyFill="1">
      <alignment vertical="center"/>
    </xf>
    <xf numFmtId="0" fontId="11" fillId="0" borderId="0" xfId="0" applyFont="1" applyFill="1">
      <alignment vertical="center"/>
    </xf>
    <xf numFmtId="3" fontId="13" fillId="0" borderId="1" xfId="4" applyNumberFormat="1" applyFont="1" applyFill="1" applyBorder="1" applyAlignment="1">
      <alignment horizontal="center" vertical="center"/>
    </xf>
    <xf numFmtId="165" fontId="13" fillId="0" borderId="0" xfId="3" applyNumberFormat="1" applyFont="1" applyFill="1" applyBorder="1" applyAlignment="1">
      <alignment horizontal="center" vertical="center"/>
    </xf>
    <xf numFmtId="165" fontId="0" fillId="0" borderId="0" xfId="3" applyNumberFormat="1" applyFont="1" applyFill="1">
      <alignment vertical="center"/>
    </xf>
    <xf numFmtId="0" fontId="13" fillId="0" borderId="10" xfId="2" applyFont="1" applyFill="1" applyBorder="1" applyAlignment="1">
      <alignment horizontal="center" vertical="center"/>
    </xf>
    <xf numFmtId="165" fontId="13" fillId="0" borderId="5" xfId="3" applyNumberFormat="1" applyFont="1" applyFill="1" applyBorder="1" applyAlignment="1">
      <alignment horizontal="center" vertical="center"/>
    </xf>
    <xf numFmtId="165" fontId="0" fillId="0" borderId="0" xfId="3" applyNumberFormat="1" applyFont="1">
      <alignment vertical="center"/>
    </xf>
    <xf numFmtId="3" fontId="11" fillId="0" borderId="0" xfId="0" applyNumberFormat="1" applyFont="1">
      <alignment vertical="center"/>
    </xf>
    <xf numFmtId="165" fontId="0" fillId="0" borderId="0" xfId="3" applyNumberFormat="1" applyFont="1" applyAlignment="1">
      <alignment vertical="center"/>
    </xf>
    <xf numFmtId="165" fontId="24" fillId="8" borderId="49" xfId="3" applyNumberFormat="1" applyFont="1" applyFill="1" applyBorder="1" applyAlignment="1">
      <alignment horizontal="center" vertical="center" wrapText="1"/>
    </xf>
    <xf numFmtId="165" fontId="24" fillId="12" borderId="49" xfId="3" applyNumberFormat="1" applyFont="1" applyFill="1" applyBorder="1" applyAlignment="1">
      <alignment horizontal="center" vertical="center" wrapText="1"/>
    </xf>
    <xf numFmtId="165" fontId="23" fillId="9" borderId="49" xfId="3" applyNumberFormat="1" applyFont="1" applyFill="1" applyBorder="1" applyAlignment="1">
      <alignment horizontal="center" vertical="center"/>
    </xf>
    <xf numFmtId="165" fontId="13" fillId="0" borderId="6" xfId="3" applyNumberFormat="1" applyFont="1" applyFill="1" applyBorder="1" applyAlignment="1">
      <alignment horizontal="center" vertical="center"/>
    </xf>
    <xf numFmtId="165" fontId="23" fillId="9" borderId="12" xfId="3" applyNumberFormat="1" applyFont="1" applyFill="1" applyBorder="1" applyAlignment="1">
      <alignment horizontal="center" vertical="center"/>
    </xf>
    <xf numFmtId="165" fontId="10" fillId="0" borderId="1" xfId="3" applyNumberFormat="1" applyFont="1" applyFill="1" applyBorder="1" applyAlignment="1">
      <alignment horizontal="center" vertical="center"/>
    </xf>
    <xf numFmtId="165" fontId="10" fillId="0" borderId="4" xfId="3" applyNumberFormat="1" applyFont="1" applyFill="1" applyBorder="1" applyAlignment="1">
      <alignment horizontal="center" vertical="center"/>
    </xf>
    <xf numFmtId="165" fontId="23" fillId="9" borderId="30" xfId="3" applyNumberFormat="1" applyFont="1" applyFill="1" applyBorder="1" applyAlignment="1">
      <alignment horizontal="center" vertical="center"/>
    </xf>
    <xf numFmtId="165" fontId="10" fillId="0" borderId="5" xfId="3" applyNumberFormat="1" applyFont="1" applyFill="1" applyBorder="1" applyAlignment="1">
      <alignment horizontal="center" vertical="center"/>
    </xf>
    <xf numFmtId="165" fontId="10" fillId="0" borderId="6" xfId="3" applyNumberFormat="1" applyFont="1" applyFill="1" applyBorder="1" applyAlignment="1">
      <alignment horizontal="center" vertical="center"/>
    </xf>
    <xf numFmtId="3" fontId="13" fillId="0" borderId="2" xfId="2" applyNumberFormat="1" applyFont="1" applyFill="1" applyBorder="1" applyAlignment="1">
      <alignment horizontal="center" vertical="center"/>
    </xf>
    <xf numFmtId="1" fontId="9" fillId="0" borderId="40" xfId="0" applyNumberFormat="1" applyFont="1" applyFill="1" applyBorder="1" applyAlignment="1" applyProtection="1">
      <alignment horizontal="center" vertical="center" wrapText="1"/>
      <protection locked="0"/>
    </xf>
    <xf numFmtId="3" fontId="15" fillId="0" borderId="24" xfId="0" applyNumberFormat="1" applyFont="1" applyFill="1" applyBorder="1" applyAlignment="1">
      <alignment horizontal="center" vertical="center"/>
    </xf>
    <xf numFmtId="0" fontId="9" fillId="0" borderId="0" xfId="0" applyFont="1" applyFill="1" applyAlignment="1">
      <alignment horizontal="center" vertical="center"/>
    </xf>
    <xf numFmtId="3" fontId="13" fillId="0" borderId="1" xfId="4" applyNumberFormat="1" applyFont="1" applyFill="1" applyBorder="1" applyAlignment="1">
      <alignment horizontal="center" vertical="center" wrapText="1"/>
    </xf>
    <xf numFmtId="165" fontId="13" fillId="0" borderId="47" xfId="3" applyNumberFormat="1" applyFont="1" applyFill="1" applyBorder="1" applyAlignment="1">
      <alignment horizontal="center" vertical="center" wrapText="1"/>
    </xf>
    <xf numFmtId="165" fontId="13" fillId="0" borderId="5" xfId="3" applyNumberFormat="1" applyFont="1" applyFill="1" applyBorder="1" applyAlignment="1">
      <alignment horizontal="center" vertical="center" wrapText="1"/>
    </xf>
    <xf numFmtId="0" fontId="0" fillId="0" borderId="0" xfId="3" applyNumberFormat="1" applyFont="1" applyAlignment="1">
      <alignment vertical="center"/>
    </xf>
    <xf numFmtId="0" fontId="0" fillId="0" borderId="0" xfId="0" applyNumberFormat="1" applyFill="1">
      <alignment vertical="center"/>
    </xf>
    <xf numFmtId="0" fontId="0" fillId="0" borderId="0" xfId="0" applyNumberFormat="1">
      <alignment vertical="center"/>
    </xf>
    <xf numFmtId="3" fontId="13" fillId="0" borderId="4" xfId="4" applyNumberFormat="1" applyFont="1" applyFill="1" applyBorder="1" applyAlignment="1">
      <alignment horizontal="center" vertical="center" wrapText="1"/>
    </xf>
    <xf numFmtId="165" fontId="13" fillId="0" borderId="48" xfId="3" applyNumberFormat="1" applyFont="1" applyFill="1" applyBorder="1" applyAlignment="1">
      <alignment horizontal="center" vertical="center" wrapText="1"/>
    </xf>
    <xf numFmtId="3" fontId="13" fillId="0" borderId="1" xfId="2" applyNumberFormat="1" applyFont="1" applyFill="1" applyBorder="1" applyAlignment="1">
      <alignment horizontal="center" vertical="center"/>
    </xf>
    <xf numFmtId="0" fontId="0" fillId="0" borderId="0" xfId="3" applyNumberFormat="1" applyFont="1">
      <alignment vertical="center"/>
    </xf>
    <xf numFmtId="3" fontId="0" fillId="0" borderId="0" xfId="0" applyNumberFormat="1" applyFill="1">
      <alignment vertical="center"/>
    </xf>
    <xf numFmtId="165" fontId="17" fillId="10" borderId="24" xfId="3" applyNumberFormat="1" applyFont="1" applyFill="1" applyBorder="1" applyAlignment="1">
      <alignment horizontal="center" vertical="center" wrapText="1"/>
    </xf>
    <xf numFmtId="165" fontId="1" fillId="11" borderId="24" xfId="3" applyNumberFormat="1" applyFont="1" applyFill="1" applyBorder="1" applyAlignment="1">
      <alignment horizontal="center" vertical="center"/>
    </xf>
    <xf numFmtId="165" fontId="15" fillId="2" borderId="24" xfId="3" applyNumberFormat="1" applyFont="1" applyFill="1" applyBorder="1" applyAlignment="1">
      <alignment horizontal="center" vertical="center"/>
    </xf>
    <xf numFmtId="165" fontId="15" fillId="0" borderId="24" xfId="3" applyNumberFormat="1" applyFont="1" applyFill="1" applyBorder="1" applyAlignment="1">
      <alignment horizontal="center" vertical="center"/>
    </xf>
    <xf numFmtId="165" fontId="25" fillId="10" borderId="24" xfId="3" applyNumberFormat="1" applyFont="1" applyFill="1" applyBorder="1" applyAlignment="1">
      <alignment horizontal="center" vertical="center"/>
    </xf>
    <xf numFmtId="165" fontId="26" fillId="11" borderId="24" xfId="3" applyNumberFormat="1" applyFont="1" applyFill="1" applyBorder="1" applyAlignment="1">
      <alignment horizontal="center" vertical="center"/>
    </xf>
    <xf numFmtId="165" fontId="17" fillId="10" borderId="24" xfId="3" applyNumberFormat="1" applyFont="1" applyFill="1" applyBorder="1" applyAlignment="1">
      <alignment horizontal="center" vertical="center"/>
    </xf>
    <xf numFmtId="165" fontId="15" fillId="2" borderId="42" xfId="3" applyNumberFormat="1" applyFont="1" applyFill="1" applyBorder="1" applyAlignment="1">
      <alignment horizontal="center" vertical="center"/>
    </xf>
    <xf numFmtId="0" fontId="13" fillId="0" borderId="11" xfId="2" applyFont="1" applyBorder="1" applyAlignment="1">
      <alignment horizontal="center" vertical="center"/>
    </xf>
    <xf numFmtId="3" fontId="13" fillId="0" borderId="3" xfId="2" applyNumberFormat="1" applyFont="1" applyFill="1" applyBorder="1" applyAlignment="1">
      <alignment horizontal="center" vertical="center"/>
    </xf>
    <xf numFmtId="0" fontId="21" fillId="0" borderId="0" xfId="0" applyNumberFormat="1" applyFont="1" applyFill="1" applyAlignment="1">
      <alignment horizontal="left" vertical="center"/>
    </xf>
    <xf numFmtId="0" fontId="22" fillId="0" borderId="0" xfId="0" applyFont="1" applyAlignment="1">
      <alignment horizontal="left" vertical="center"/>
    </xf>
    <xf numFmtId="0" fontId="14" fillId="0" borderId="0" xfId="0" applyNumberFormat="1" applyFont="1" applyFill="1" applyAlignment="1">
      <alignment horizontal="center"/>
    </xf>
    <xf numFmtId="0" fontId="6" fillId="0" borderId="27" xfId="0" applyNumberFormat="1" applyFont="1" applyFill="1" applyBorder="1" applyAlignment="1">
      <alignment horizontal="center" vertical="center"/>
    </xf>
    <xf numFmtId="0" fontId="6" fillId="0" borderId="28" xfId="0" applyNumberFormat="1" applyFont="1" applyFill="1" applyBorder="1" applyAlignment="1">
      <alignment horizontal="center" vertical="center"/>
    </xf>
    <xf numFmtId="0" fontId="6" fillId="0" borderId="29" xfId="0" applyNumberFormat="1" applyFont="1" applyFill="1" applyBorder="1" applyAlignment="1">
      <alignment horizontal="center" vertical="center"/>
    </xf>
    <xf numFmtId="0" fontId="4" fillId="0" borderId="0" xfId="0" applyNumberFormat="1" applyFont="1" applyFill="1" applyAlignment="1">
      <alignment horizontal="center"/>
    </xf>
    <xf numFmtId="0" fontId="19" fillId="0" borderId="27" xfId="0" applyFont="1" applyBorder="1" applyAlignment="1">
      <alignment horizontal="center" vertical="center"/>
    </xf>
    <xf numFmtId="0" fontId="19" fillId="0" borderId="28" xfId="0" applyFont="1" applyBorder="1" applyAlignment="1">
      <alignment horizontal="center" vertical="center"/>
    </xf>
    <xf numFmtId="0" fontId="19" fillId="0" borderId="29" xfId="0" applyFont="1" applyBorder="1" applyAlignment="1">
      <alignment horizontal="center" vertical="center"/>
    </xf>
    <xf numFmtId="0" fontId="20" fillId="0" borderId="0" xfId="0" applyFont="1" applyAlignment="1">
      <alignment horizontal="left" vertical="center"/>
    </xf>
    <xf numFmtId="0" fontId="0" fillId="0" borderId="0" xfId="0" applyAlignment="1">
      <alignment horizontal="center" vertical="center"/>
    </xf>
    <xf numFmtId="0" fontId="24" fillId="8" borderId="27" xfId="7" applyNumberFormat="1" applyFont="1" applyFill="1" applyBorder="1" applyAlignment="1">
      <alignment horizontal="center" vertical="center" wrapText="1"/>
    </xf>
    <xf numFmtId="0" fontId="24" fillId="8" borderId="34" xfId="7" applyNumberFormat="1" applyFont="1" applyFill="1" applyBorder="1" applyAlignment="1">
      <alignment horizontal="center" vertical="center" wrapText="1"/>
    </xf>
    <xf numFmtId="3" fontId="13" fillId="0" borderId="35" xfId="2" applyNumberFormat="1" applyFont="1" applyBorder="1" applyAlignment="1">
      <alignment horizontal="center" vertical="center"/>
    </xf>
    <xf numFmtId="3" fontId="13" fillId="0" borderId="37" xfId="2" applyNumberFormat="1" applyFont="1" applyBorder="1" applyAlignment="1">
      <alignment horizontal="center" vertical="center"/>
    </xf>
    <xf numFmtId="3" fontId="13" fillId="0" borderId="33" xfId="2" applyNumberFormat="1" applyFont="1" applyBorder="1" applyAlignment="1">
      <alignment horizontal="center" vertical="center"/>
    </xf>
    <xf numFmtId="3" fontId="13" fillId="0" borderId="38" xfId="2" applyNumberFormat="1" applyFont="1" applyBorder="1" applyAlignment="1">
      <alignment horizontal="center" vertical="center"/>
    </xf>
    <xf numFmtId="3" fontId="13" fillId="0" borderId="39" xfId="2" applyNumberFormat="1" applyFont="1" applyBorder="1" applyAlignment="1">
      <alignment horizontal="center" vertical="center"/>
    </xf>
  </cellXfs>
  <cellStyles count="10">
    <cellStyle name="20% - Accent6" xfId="9" builtinId="50"/>
    <cellStyle name="Accent3" xfId="8" builtinId="37"/>
    <cellStyle name="Accent6" xfId="7" builtinId="49"/>
    <cellStyle name="Calculation" xfId="6" builtinId="22"/>
    <cellStyle name="Comma 2" xfId="1" xr:uid="{00000000-0005-0000-0000-000004000000}"/>
    <cellStyle name="Normal" xfId="0" builtinId="0"/>
    <cellStyle name="Normal 2" xfId="2" xr:uid="{00000000-0005-0000-0000-000006000000}"/>
    <cellStyle name="Percent" xfId="3" builtinId="5"/>
    <cellStyle name="Percent 2" xfId="4" xr:uid="{00000000-0005-0000-0000-000008000000}"/>
    <cellStyle name="Percent 3" xfId="5" xr:uid="{00000000-0005-0000-0000-000009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7992B1"/>
      <rgbColor rgb="00A5B6CB"/>
      <rgbColor rgb="00FFFFFF"/>
      <rgbColor rgb="00FF00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2</xdr:col>
      <xdr:colOff>457200</xdr:colOff>
      <xdr:row>4</xdr:row>
      <xdr:rowOff>104775</xdr:rowOff>
    </xdr:from>
    <xdr:to>
      <xdr:col>2</xdr:col>
      <xdr:colOff>647700</xdr:colOff>
      <xdr:row>4</xdr:row>
      <xdr:rowOff>276225</xdr:rowOff>
    </xdr:to>
    <xdr:sp macro="" textlink="">
      <xdr:nvSpPr>
        <xdr:cNvPr id="3" name="AutoShape 68">
          <a:extLst>
            <a:ext uri="{FF2B5EF4-FFF2-40B4-BE49-F238E27FC236}">
              <a16:creationId xmlns:a16="http://schemas.microsoft.com/office/drawing/2014/main" id="{00000000-0008-0000-0000-000003000000}"/>
            </a:ext>
          </a:extLst>
        </xdr:cNvPr>
        <xdr:cNvSpPr>
          <a:spLocks noChangeArrowheads="1"/>
        </xdr:cNvSpPr>
      </xdr:nvSpPr>
      <xdr:spPr bwMode="auto">
        <a:xfrm>
          <a:off x="4981575" y="1590675"/>
          <a:ext cx="190500" cy="171450"/>
        </a:xfrm>
        <a:prstGeom prst="downArrow">
          <a:avLst>
            <a:gd name="adj1" fmla="val 50000"/>
            <a:gd name="adj2" fmla="val 25000"/>
          </a:avLst>
        </a:prstGeom>
        <a:solidFill>
          <a:srgbClr val="FFFFFF"/>
        </a:solidFill>
        <a:ln w="9525">
          <a:solidFill>
            <a:srgbClr val="000000"/>
          </a:solidFill>
          <a:miter lim="800000"/>
          <a:headEnd/>
          <a:tailEnd/>
        </a:ln>
      </xdr:spPr>
      <xdr:txBody>
        <a:bodyPr rot="0" vert="eaVert" wrap="square" lIns="91440" tIns="45720" rIns="91440" bIns="45720" anchor="t" anchorCtr="0" upright="1">
          <a:noAutofit/>
        </a:bodyPr>
        <a:lstStyle/>
        <a:p>
          <a:endParaRPr lang="en-US"/>
        </a:p>
      </xdr:txBody>
    </xdr:sp>
    <xdr:clientData/>
  </xdr:twoCellAnchor>
  <xdr:twoCellAnchor>
    <xdr:from>
      <xdr:col>3</xdr:col>
      <xdr:colOff>457200</xdr:colOff>
      <xdr:row>4</xdr:row>
      <xdr:rowOff>104775</xdr:rowOff>
    </xdr:from>
    <xdr:to>
      <xdr:col>3</xdr:col>
      <xdr:colOff>647700</xdr:colOff>
      <xdr:row>4</xdr:row>
      <xdr:rowOff>276225</xdr:rowOff>
    </xdr:to>
    <xdr:sp macro="" textlink="">
      <xdr:nvSpPr>
        <xdr:cNvPr id="4" name="AutoShape 68">
          <a:extLst>
            <a:ext uri="{FF2B5EF4-FFF2-40B4-BE49-F238E27FC236}">
              <a16:creationId xmlns:a16="http://schemas.microsoft.com/office/drawing/2014/main" id="{00000000-0008-0000-0000-000004000000}"/>
            </a:ext>
          </a:extLst>
        </xdr:cNvPr>
        <xdr:cNvSpPr>
          <a:spLocks noChangeArrowheads="1"/>
        </xdr:cNvSpPr>
      </xdr:nvSpPr>
      <xdr:spPr bwMode="auto">
        <a:xfrm>
          <a:off x="6067425" y="1590675"/>
          <a:ext cx="190500" cy="171450"/>
        </a:xfrm>
        <a:prstGeom prst="downArrow">
          <a:avLst>
            <a:gd name="adj1" fmla="val 50000"/>
            <a:gd name="adj2" fmla="val 25000"/>
          </a:avLst>
        </a:prstGeom>
        <a:solidFill>
          <a:srgbClr val="FFFFFF"/>
        </a:solidFill>
        <a:ln w="9525">
          <a:solidFill>
            <a:srgbClr val="000000"/>
          </a:solidFill>
          <a:miter lim="800000"/>
          <a:headEnd/>
          <a:tailEnd/>
        </a:ln>
      </xdr:spPr>
      <xdr:txBody>
        <a:bodyPr rot="0" vert="eaVert" wrap="square" lIns="91440" tIns="45720" rIns="91440" bIns="45720" anchor="t" anchorCtr="0" upright="1">
          <a:noAutofit/>
        </a:bodyPr>
        <a:lstStyle/>
        <a:p>
          <a:endParaRPr lang="en-US"/>
        </a:p>
      </xdr:txBody>
    </xdr:sp>
    <xdr:clientData/>
  </xdr:twoCellAnchor>
  <xdr:twoCellAnchor>
    <xdr:from>
      <xdr:col>4</xdr:col>
      <xdr:colOff>457200</xdr:colOff>
      <xdr:row>4</xdr:row>
      <xdr:rowOff>95250</xdr:rowOff>
    </xdr:from>
    <xdr:to>
      <xdr:col>4</xdr:col>
      <xdr:colOff>647700</xdr:colOff>
      <xdr:row>4</xdr:row>
      <xdr:rowOff>266700</xdr:rowOff>
    </xdr:to>
    <xdr:sp macro="" textlink="">
      <xdr:nvSpPr>
        <xdr:cNvPr id="11" name="AutoShape 68">
          <a:extLst>
            <a:ext uri="{FF2B5EF4-FFF2-40B4-BE49-F238E27FC236}">
              <a16:creationId xmlns:a16="http://schemas.microsoft.com/office/drawing/2014/main" id="{00000000-0008-0000-0000-00000B000000}"/>
            </a:ext>
          </a:extLst>
        </xdr:cNvPr>
        <xdr:cNvSpPr>
          <a:spLocks noChangeArrowheads="1"/>
        </xdr:cNvSpPr>
      </xdr:nvSpPr>
      <xdr:spPr bwMode="auto">
        <a:xfrm>
          <a:off x="8410575" y="1581150"/>
          <a:ext cx="190500" cy="171450"/>
        </a:xfrm>
        <a:prstGeom prst="downArrow">
          <a:avLst>
            <a:gd name="adj1" fmla="val 50000"/>
            <a:gd name="adj2" fmla="val 25000"/>
          </a:avLst>
        </a:prstGeom>
        <a:solidFill>
          <a:srgbClr val="FFFFFF"/>
        </a:solidFill>
        <a:ln w="9525">
          <a:solidFill>
            <a:srgbClr val="000000"/>
          </a:solidFill>
          <a:miter lim="800000"/>
          <a:headEnd/>
          <a:tailEnd/>
        </a:ln>
      </xdr:spPr>
      <xdr:txBody>
        <a:bodyPr rot="0" vert="eaVert" wrap="square" lIns="91440" tIns="45720" rIns="91440" bIns="45720" anchor="t" anchorCtr="0" upright="1">
          <a:noAutofit/>
        </a:bodyPr>
        <a:lstStyle/>
        <a:p>
          <a:endParaRPr lang="en-US"/>
        </a:p>
      </xdr:txBody>
    </xdr:sp>
    <xdr:clientData/>
  </xdr:twoCellAnchor>
  <xdr:twoCellAnchor>
    <xdr:from>
      <xdr:col>5</xdr:col>
      <xdr:colOff>466725</xdr:colOff>
      <xdr:row>4</xdr:row>
      <xdr:rowOff>76200</xdr:rowOff>
    </xdr:from>
    <xdr:to>
      <xdr:col>5</xdr:col>
      <xdr:colOff>657225</xdr:colOff>
      <xdr:row>4</xdr:row>
      <xdr:rowOff>247650</xdr:rowOff>
    </xdr:to>
    <xdr:sp macro="" textlink="">
      <xdr:nvSpPr>
        <xdr:cNvPr id="14" name="AutoShape 68">
          <a:extLst>
            <a:ext uri="{FF2B5EF4-FFF2-40B4-BE49-F238E27FC236}">
              <a16:creationId xmlns:a16="http://schemas.microsoft.com/office/drawing/2014/main" id="{00000000-0008-0000-0000-00000E000000}"/>
            </a:ext>
          </a:extLst>
        </xdr:cNvPr>
        <xdr:cNvSpPr>
          <a:spLocks noChangeArrowheads="1"/>
        </xdr:cNvSpPr>
      </xdr:nvSpPr>
      <xdr:spPr bwMode="auto">
        <a:xfrm>
          <a:off x="10706100" y="1562100"/>
          <a:ext cx="190500" cy="171450"/>
        </a:xfrm>
        <a:prstGeom prst="downArrow">
          <a:avLst>
            <a:gd name="adj1" fmla="val 50000"/>
            <a:gd name="adj2" fmla="val 25000"/>
          </a:avLst>
        </a:prstGeom>
        <a:solidFill>
          <a:srgbClr val="FFFFFF"/>
        </a:solidFill>
        <a:ln w="9525">
          <a:solidFill>
            <a:srgbClr val="000000"/>
          </a:solidFill>
          <a:miter lim="800000"/>
          <a:headEnd/>
          <a:tailEnd/>
        </a:ln>
      </xdr:spPr>
      <xdr:txBody>
        <a:bodyPr rot="0" vert="eaVert" wrap="square" lIns="91440" tIns="45720" rIns="91440" bIns="45720" anchor="t" anchorCtr="0" upright="1">
          <a:noAutofit/>
        </a:bodyPr>
        <a:lstStyle/>
        <a:p>
          <a:endParaRPr 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1"/>
  <sheetViews>
    <sheetView tabSelected="1" zoomScaleNormal="100" workbookViewId="0">
      <pane xSplit="2" ySplit="1" topLeftCell="C2" activePane="bottomRight" state="frozen"/>
      <selection pane="topRight" activeCell="C1" sqref="C1"/>
      <selection pane="bottomLeft" activeCell="A2" sqref="A2"/>
      <selection pane="bottomRight" activeCell="B1" sqref="B1"/>
    </sheetView>
  </sheetViews>
  <sheetFormatPr defaultRowHeight="15" customHeight="1" x14ac:dyDescent="0.2"/>
  <cols>
    <col min="1" max="1" width="6.7109375" style="5" customWidth="1"/>
    <col min="2" max="2" width="44" style="5" customWidth="1"/>
    <col min="3" max="3" width="17.140625" style="5" customWidth="1"/>
    <col min="4" max="4" width="16.7109375" style="5" customWidth="1"/>
    <col min="5" max="5" width="17.140625" style="20" customWidth="1"/>
    <col min="6" max="6" width="17.140625" style="66" customWidth="1"/>
    <col min="7" max="16384" width="9.140625" style="5"/>
  </cols>
  <sheetData>
    <row r="1" spans="2:7" ht="35.25" customHeight="1" x14ac:dyDescent="0.2">
      <c r="B1" s="75" t="s">
        <v>0</v>
      </c>
      <c r="C1" s="43" t="s">
        <v>288</v>
      </c>
      <c r="D1" s="43" t="s">
        <v>289</v>
      </c>
      <c r="E1" s="43" t="s">
        <v>290</v>
      </c>
      <c r="F1" s="92" t="s">
        <v>291</v>
      </c>
    </row>
    <row r="2" spans="2:7" s="20" customFormat="1" ht="31.5" customHeight="1" x14ac:dyDescent="0.2">
      <c r="B2" s="105" t="s">
        <v>248</v>
      </c>
      <c r="C2" s="57">
        <v>1314828</v>
      </c>
      <c r="D2" s="57">
        <v>1300505</v>
      </c>
      <c r="E2" s="57">
        <f>D2-C2</f>
        <v>-14323</v>
      </c>
      <c r="F2" s="117">
        <f>D2/C2-1</f>
        <v>-1.0893440054516645E-2</v>
      </c>
    </row>
    <row r="3" spans="2:7" s="20" customFormat="1" ht="19.5" customHeight="1" x14ac:dyDescent="0.2">
      <c r="B3" s="77" t="s">
        <v>237</v>
      </c>
      <c r="C3" s="58">
        <v>142492</v>
      </c>
      <c r="D3" s="58">
        <v>130143</v>
      </c>
      <c r="E3" s="58">
        <f>D3-C3</f>
        <v>-12349</v>
      </c>
      <c r="F3" s="118">
        <f>D3/C3-1</f>
        <v>-8.6664514499059542E-2</v>
      </c>
    </row>
    <row r="4" spans="2:7" ht="30.75" customHeight="1" x14ac:dyDescent="0.2">
      <c r="B4" s="106" t="s">
        <v>249</v>
      </c>
      <c r="C4" s="48">
        <v>1172336</v>
      </c>
      <c r="D4" s="48">
        <v>1170362</v>
      </c>
      <c r="E4" s="48">
        <f>D4-C4</f>
        <v>-1974</v>
      </c>
      <c r="F4" s="119">
        <f>D4/C4-1</f>
        <v>-1.6838176086036993E-3</v>
      </c>
    </row>
    <row r="5" spans="2:7" s="20" customFormat="1" ht="30.75" customHeight="1" x14ac:dyDescent="0.2">
      <c r="B5" s="78" t="s">
        <v>247</v>
      </c>
      <c r="C5" s="48"/>
      <c r="D5" s="48"/>
      <c r="E5" s="48"/>
      <c r="F5" s="119"/>
      <c r="G5" s="93"/>
    </row>
    <row r="6" spans="2:7" ht="15" customHeight="1" x14ac:dyDescent="0.2">
      <c r="B6" s="79" t="s">
        <v>1</v>
      </c>
      <c r="C6" s="49">
        <v>933040</v>
      </c>
      <c r="D6" s="50">
        <v>946150</v>
      </c>
      <c r="E6" s="49">
        <f>D6-C6</f>
        <v>13110</v>
      </c>
      <c r="F6" s="142">
        <f>D6/C6-1</f>
        <v>1.4050844551144692E-2</v>
      </c>
    </row>
    <row r="7" spans="2:7" x14ac:dyDescent="0.2">
      <c r="B7" s="80" t="s">
        <v>2</v>
      </c>
      <c r="C7" s="52">
        <v>575892</v>
      </c>
      <c r="D7" s="52">
        <v>572362</v>
      </c>
      <c r="E7" s="52">
        <f t="shared" ref="E7:E67" si="0">D7-C7</f>
        <v>-3530</v>
      </c>
      <c r="F7" s="143">
        <f t="shared" ref="F7:F67" si="1">D7/C7-1</f>
        <v>-6.1296215262583997E-3</v>
      </c>
    </row>
    <row r="8" spans="2:7" s="13" customFormat="1" ht="14.25" customHeight="1" x14ac:dyDescent="0.2">
      <c r="B8" s="82" t="s">
        <v>4</v>
      </c>
      <c r="C8" s="38">
        <v>64818</v>
      </c>
      <c r="D8" s="38">
        <v>59571</v>
      </c>
      <c r="E8" s="38">
        <f t="shared" si="0"/>
        <v>-5247</v>
      </c>
      <c r="F8" s="144">
        <f t="shared" si="1"/>
        <v>-8.0949736184393273E-2</v>
      </c>
    </row>
    <row r="9" spans="2:7" s="13" customFormat="1" ht="12" x14ac:dyDescent="0.2">
      <c r="B9" s="82" t="s">
        <v>5</v>
      </c>
      <c r="C9" s="38">
        <v>17377</v>
      </c>
      <c r="D9" s="38">
        <v>16904</v>
      </c>
      <c r="E9" s="38">
        <f t="shared" si="0"/>
        <v>-473</v>
      </c>
      <c r="F9" s="144">
        <f t="shared" si="1"/>
        <v>-2.7219888358174571E-2</v>
      </c>
    </row>
    <row r="10" spans="2:7" s="13" customFormat="1" ht="12" x14ac:dyDescent="0.2">
      <c r="B10" s="82" t="s">
        <v>6</v>
      </c>
      <c r="C10" s="38">
        <v>1837</v>
      </c>
      <c r="D10" s="38">
        <v>2136</v>
      </c>
      <c r="E10" s="38">
        <f t="shared" si="0"/>
        <v>299</v>
      </c>
      <c r="F10" s="144">
        <f t="shared" si="1"/>
        <v>0.16276537833424065</v>
      </c>
    </row>
    <row r="11" spans="2:7" ht="15" customHeight="1" x14ac:dyDescent="0.2">
      <c r="B11" s="82" t="s">
        <v>8</v>
      </c>
      <c r="C11" s="38">
        <v>1332</v>
      </c>
      <c r="D11" s="38">
        <v>1138</v>
      </c>
      <c r="E11" s="38">
        <f t="shared" si="0"/>
        <v>-194</v>
      </c>
      <c r="F11" s="144">
        <f t="shared" si="1"/>
        <v>-0.14564564564564564</v>
      </c>
    </row>
    <row r="12" spans="2:7" ht="15" customHeight="1" x14ac:dyDescent="0.2">
      <c r="B12" s="82" t="s">
        <v>19</v>
      </c>
      <c r="C12" s="38">
        <v>4263</v>
      </c>
      <c r="D12" s="38">
        <v>4397</v>
      </c>
      <c r="E12" s="38">
        <f t="shared" si="0"/>
        <v>134</v>
      </c>
      <c r="F12" s="144">
        <f t="shared" si="1"/>
        <v>3.1433262960356645E-2</v>
      </c>
    </row>
    <row r="13" spans="2:7" ht="15" customHeight="1" x14ac:dyDescent="0.2">
      <c r="B13" s="82" t="s">
        <v>12</v>
      </c>
      <c r="C13" s="38">
        <v>3375</v>
      </c>
      <c r="D13" s="38">
        <v>2508</v>
      </c>
      <c r="E13" s="38">
        <f t="shared" si="0"/>
        <v>-867</v>
      </c>
      <c r="F13" s="144">
        <f t="shared" si="1"/>
        <v>-0.25688888888888894</v>
      </c>
    </row>
    <row r="14" spans="2:7" ht="15" customHeight="1" x14ac:dyDescent="0.2">
      <c r="B14" s="82" t="s">
        <v>293</v>
      </c>
      <c r="C14" s="38">
        <v>3441</v>
      </c>
      <c r="D14" s="38">
        <v>4470</v>
      </c>
      <c r="E14" s="38">
        <f t="shared" si="0"/>
        <v>1029</v>
      </c>
      <c r="F14" s="144">
        <f t="shared" si="1"/>
        <v>0.29904097646033123</v>
      </c>
    </row>
    <row r="15" spans="2:7" s="13" customFormat="1" ht="15" customHeight="1" x14ac:dyDescent="0.2">
      <c r="B15" s="82" t="s">
        <v>13</v>
      </c>
      <c r="C15" s="38">
        <v>2717</v>
      </c>
      <c r="D15" s="38">
        <v>3003</v>
      </c>
      <c r="E15" s="38">
        <f t="shared" si="0"/>
        <v>286</v>
      </c>
      <c r="F15" s="144">
        <f t="shared" si="1"/>
        <v>0.10526315789473695</v>
      </c>
    </row>
    <row r="16" spans="2:7" s="13" customFormat="1" ht="15" customHeight="1" x14ac:dyDescent="0.2">
      <c r="B16" s="82" t="s">
        <v>14</v>
      </c>
      <c r="C16" s="38">
        <v>10165</v>
      </c>
      <c r="D16" s="38">
        <v>13651</v>
      </c>
      <c r="E16" s="38">
        <f t="shared" si="0"/>
        <v>3486</v>
      </c>
      <c r="F16" s="144">
        <f t="shared" si="1"/>
        <v>0.34294146581406793</v>
      </c>
    </row>
    <row r="17" spans="2:6" ht="15" customHeight="1" x14ac:dyDescent="0.2">
      <c r="B17" s="82" t="s">
        <v>15</v>
      </c>
      <c r="C17" s="38">
        <v>1473</v>
      </c>
      <c r="D17" s="38">
        <v>1922</v>
      </c>
      <c r="E17" s="38">
        <f t="shared" si="0"/>
        <v>449</v>
      </c>
      <c r="F17" s="144">
        <f t="shared" si="1"/>
        <v>0.30482009504412755</v>
      </c>
    </row>
    <row r="18" spans="2:6" ht="15" customHeight="1" x14ac:dyDescent="0.2">
      <c r="B18" s="82" t="s">
        <v>16</v>
      </c>
      <c r="C18" s="38">
        <v>219264</v>
      </c>
      <c r="D18" s="38">
        <v>230717</v>
      </c>
      <c r="E18" s="38">
        <f t="shared" si="0"/>
        <v>11453</v>
      </c>
      <c r="F18" s="144">
        <f t="shared" si="1"/>
        <v>5.2233836835960279E-2</v>
      </c>
    </row>
    <row r="19" spans="2:6" s="13" customFormat="1" ht="15" customHeight="1" x14ac:dyDescent="0.2">
      <c r="B19" s="82" t="s">
        <v>17</v>
      </c>
      <c r="C19" s="38">
        <v>1240</v>
      </c>
      <c r="D19" s="38">
        <v>2326</v>
      </c>
      <c r="E19" s="38">
        <f t="shared" si="0"/>
        <v>1086</v>
      </c>
      <c r="F19" s="144">
        <f t="shared" si="1"/>
        <v>0.87580645161290316</v>
      </c>
    </row>
    <row r="20" spans="2:6" ht="15" customHeight="1" x14ac:dyDescent="0.2">
      <c r="B20" s="82" t="s">
        <v>3</v>
      </c>
      <c r="C20" s="38">
        <v>180805</v>
      </c>
      <c r="D20" s="38">
        <v>160473</v>
      </c>
      <c r="E20" s="38">
        <f t="shared" si="0"/>
        <v>-20332</v>
      </c>
      <c r="F20" s="144">
        <f t="shared" si="1"/>
        <v>-0.11245264234949259</v>
      </c>
    </row>
    <row r="21" spans="2:6" ht="15" customHeight="1" x14ac:dyDescent="0.2">
      <c r="B21" s="82" t="s">
        <v>18</v>
      </c>
      <c r="C21" s="38">
        <v>673</v>
      </c>
      <c r="D21" s="38">
        <v>909</v>
      </c>
      <c r="E21" s="38">
        <f t="shared" si="0"/>
        <v>236</v>
      </c>
      <c r="F21" s="144">
        <f t="shared" si="1"/>
        <v>0.35066864784546814</v>
      </c>
    </row>
    <row r="22" spans="2:6" s="13" customFormat="1" ht="15" customHeight="1" x14ac:dyDescent="0.2">
      <c r="B22" s="81" t="s">
        <v>21</v>
      </c>
      <c r="C22" s="38">
        <v>10151</v>
      </c>
      <c r="D22" s="38">
        <v>8444</v>
      </c>
      <c r="E22" s="38">
        <f t="shared" si="0"/>
        <v>-1707</v>
      </c>
      <c r="F22" s="144">
        <f t="shared" si="1"/>
        <v>-0.16816077233770077</v>
      </c>
    </row>
    <row r="23" spans="2:6" ht="15" customHeight="1" x14ac:dyDescent="0.2">
      <c r="B23" s="82" t="s">
        <v>20</v>
      </c>
      <c r="C23" s="38">
        <v>24192</v>
      </c>
      <c r="D23" s="38">
        <v>30119</v>
      </c>
      <c r="E23" s="38">
        <f t="shared" si="0"/>
        <v>5927</v>
      </c>
      <c r="F23" s="144">
        <f t="shared" si="1"/>
        <v>0.24499834656084651</v>
      </c>
    </row>
    <row r="24" spans="2:6" s="13" customFormat="1" ht="15" customHeight="1" x14ac:dyDescent="0.2">
      <c r="B24" s="81" t="s">
        <v>9</v>
      </c>
      <c r="C24" s="38">
        <v>1204</v>
      </c>
      <c r="D24" s="38">
        <v>1545</v>
      </c>
      <c r="E24" s="38">
        <f t="shared" si="0"/>
        <v>341</v>
      </c>
      <c r="F24" s="144">
        <f t="shared" si="1"/>
        <v>0.28322259136212624</v>
      </c>
    </row>
    <row r="25" spans="2:6" s="130" customFormat="1" ht="15" customHeight="1" x14ac:dyDescent="0.2">
      <c r="B25" s="128" t="s">
        <v>10</v>
      </c>
      <c r="C25" s="129">
        <v>21625</v>
      </c>
      <c r="D25" s="129">
        <v>21583</v>
      </c>
      <c r="E25" s="129">
        <f t="shared" si="0"/>
        <v>-42</v>
      </c>
      <c r="F25" s="145">
        <f t="shared" si="1"/>
        <v>-1.942196531791951E-3</v>
      </c>
    </row>
    <row r="26" spans="2:6" s="13" customFormat="1" ht="15" customHeight="1" x14ac:dyDescent="0.2">
      <c r="B26" s="83" t="s">
        <v>11</v>
      </c>
      <c r="C26" s="38">
        <v>3681</v>
      </c>
      <c r="D26" s="38">
        <v>3678</v>
      </c>
      <c r="E26" s="38">
        <f t="shared" si="0"/>
        <v>-3</v>
      </c>
      <c r="F26" s="144">
        <f t="shared" si="1"/>
        <v>-8.1499592502032314E-4</v>
      </c>
    </row>
    <row r="27" spans="2:6" s="13" customFormat="1" ht="15" customHeight="1" x14ac:dyDescent="0.2">
      <c r="B27" s="83" t="s">
        <v>7</v>
      </c>
      <c r="C27" s="38">
        <v>2259</v>
      </c>
      <c r="D27" s="38">
        <v>2868</v>
      </c>
      <c r="E27" s="38">
        <f t="shared" si="0"/>
        <v>609</v>
      </c>
      <c r="F27" s="144">
        <f t="shared" si="1"/>
        <v>0.26958831341301459</v>
      </c>
    </row>
    <row r="28" spans="2:6" ht="15" customHeight="1" x14ac:dyDescent="0.2">
      <c r="B28" s="80" t="s">
        <v>22</v>
      </c>
      <c r="C28" s="52">
        <v>11473</v>
      </c>
      <c r="D28" s="52">
        <v>15359</v>
      </c>
      <c r="E28" s="52">
        <f t="shared" si="0"/>
        <v>3886</v>
      </c>
      <c r="F28" s="143">
        <f t="shared" si="1"/>
        <v>0.3387082715941776</v>
      </c>
    </row>
    <row r="29" spans="2:6" ht="15" customHeight="1" x14ac:dyDescent="0.2">
      <c r="B29" s="81" t="s">
        <v>29</v>
      </c>
      <c r="C29" s="38">
        <v>6506</v>
      </c>
      <c r="D29" s="38">
        <v>9479</v>
      </c>
      <c r="E29" s="38">
        <f t="shared" si="0"/>
        <v>2973</v>
      </c>
      <c r="F29" s="144">
        <f t="shared" si="1"/>
        <v>0.45696280356593921</v>
      </c>
    </row>
    <row r="30" spans="2:6" ht="15" customHeight="1" x14ac:dyDescent="0.2">
      <c r="B30" s="82" t="s">
        <v>23</v>
      </c>
      <c r="C30" s="38">
        <v>863</v>
      </c>
      <c r="D30" s="38">
        <v>849</v>
      </c>
      <c r="E30" s="38">
        <f t="shared" si="0"/>
        <v>-14</v>
      </c>
      <c r="F30" s="144">
        <f t="shared" si="1"/>
        <v>-1.6222479721900385E-2</v>
      </c>
    </row>
    <row r="31" spans="2:6" ht="15" customHeight="1" x14ac:dyDescent="0.2">
      <c r="B31" s="82" t="s">
        <v>26</v>
      </c>
      <c r="C31" s="38">
        <v>1015</v>
      </c>
      <c r="D31" s="38">
        <v>1113</v>
      </c>
      <c r="E31" s="38">
        <f t="shared" si="0"/>
        <v>98</v>
      </c>
      <c r="F31" s="144">
        <f t="shared" si="1"/>
        <v>9.6551724137931005E-2</v>
      </c>
    </row>
    <row r="32" spans="2:6" ht="15" customHeight="1" x14ac:dyDescent="0.2">
      <c r="B32" s="82" t="s">
        <v>25</v>
      </c>
      <c r="C32" s="38">
        <v>94</v>
      </c>
      <c r="D32" s="38">
        <v>77</v>
      </c>
      <c r="E32" s="38">
        <f t="shared" si="0"/>
        <v>-17</v>
      </c>
      <c r="F32" s="144">
        <f t="shared" si="1"/>
        <v>-0.18085106382978722</v>
      </c>
    </row>
    <row r="33" spans="2:6" ht="15" customHeight="1" x14ac:dyDescent="0.2">
      <c r="B33" s="82" t="s">
        <v>27</v>
      </c>
      <c r="C33" s="38">
        <v>743</v>
      </c>
      <c r="D33" s="38">
        <v>1169</v>
      </c>
      <c r="E33" s="38">
        <f t="shared" si="0"/>
        <v>426</v>
      </c>
      <c r="F33" s="144">
        <f t="shared" si="1"/>
        <v>0.57335127860026924</v>
      </c>
    </row>
    <row r="34" spans="2:6" ht="15" customHeight="1" x14ac:dyDescent="0.2">
      <c r="B34" s="82" t="s">
        <v>24</v>
      </c>
      <c r="C34" s="38">
        <v>767</v>
      </c>
      <c r="D34" s="38">
        <v>974</v>
      </c>
      <c r="E34" s="38">
        <f t="shared" si="0"/>
        <v>207</v>
      </c>
      <c r="F34" s="144">
        <f t="shared" si="1"/>
        <v>0.26988265971316827</v>
      </c>
    </row>
    <row r="35" spans="2:6" ht="15" customHeight="1" x14ac:dyDescent="0.2">
      <c r="B35" s="81" t="s">
        <v>28</v>
      </c>
      <c r="C35" s="38">
        <v>1485</v>
      </c>
      <c r="D35" s="38">
        <v>1698</v>
      </c>
      <c r="E35" s="38">
        <f t="shared" si="0"/>
        <v>213</v>
      </c>
      <c r="F35" s="144">
        <f t="shared" si="1"/>
        <v>0.14343434343434347</v>
      </c>
    </row>
    <row r="36" spans="2:6" ht="15" customHeight="1" x14ac:dyDescent="0.2">
      <c r="B36" s="80" t="s">
        <v>30</v>
      </c>
      <c r="C36" s="52">
        <v>16008</v>
      </c>
      <c r="D36" s="52">
        <v>22874</v>
      </c>
      <c r="E36" s="52">
        <f t="shared" si="0"/>
        <v>6866</v>
      </c>
      <c r="F36" s="143">
        <f t="shared" si="1"/>
        <v>0.42891054472763623</v>
      </c>
    </row>
    <row r="37" spans="2:6" ht="15" customHeight="1" x14ac:dyDescent="0.2">
      <c r="B37" s="82" t="s">
        <v>31</v>
      </c>
      <c r="C37" s="38">
        <v>164</v>
      </c>
      <c r="D37" s="38">
        <v>191</v>
      </c>
      <c r="E37" s="38">
        <f t="shared" si="0"/>
        <v>27</v>
      </c>
      <c r="F37" s="144">
        <f t="shared" si="1"/>
        <v>0.16463414634146334</v>
      </c>
    </row>
    <row r="38" spans="2:6" ht="15" customHeight="1" x14ac:dyDescent="0.2">
      <c r="B38" s="82" t="s">
        <v>32</v>
      </c>
      <c r="C38" s="38">
        <v>34</v>
      </c>
      <c r="D38" s="38">
        <v>10</v>
      </c>
      <c r="E38" s="38">
        <f t="shared" si="0"/>
        <v>-24</v>
      </c>
      <c r="F38" s="144">
        <f t="shared" si="1"/>
        <v>-0.70588235294117641</v>
      </c>
    </row>
    <row r="39" spans="2:6" ht="12" x14ac:dyDescent="0.2">
      <c r="B39" s="82" t="s">
        <v>211</v>
      </c>
      <c r="C39" s="38">
        <v>134</v>
      </c>
      <c r="D39" s="38">
        <v>129</v>
      </c>
      <c r="E39" s="38">
        <f t="shared" si="0"/>
        <v>-5</v>
      </c>
      <c r="F39" s="144">
        <f t="shared" si="1"/>
        <v>-3.7313432835820892E-2</v>
      </c>
    </row>
    <row r="40" spans="2:6" ht="15" customHeight="1" x14ac:dyDescent="0.2">
      <c r="B40" s="81" t="s">
        <v>42</v>
      </c>
      <c r="C40" s="38">
        <v>2988</v>
      </c>
      <c r="D40" s="38">
        <v>4315</v>
      </c>
      <c r="E40" s="38">
        <f t="shared" si="0"/>
        <v>1327</v>
      </c>
      <c r="F40" s="144">
        <f t="shared" si="1"/>
        <v>0.44410977242302541</v>
      </c>
    </row>
    <row r="41" spans="2:6" ht="15" customHeight="1" x14ac:dyDescent="0.2">
      <c r="B41" s="81" t="s">
        <v>35</v>
      </c>
      <c r="C41" s="38">
        <v>2</v>
      </c>
      <c r="D41" s="38">
        <v>1</v>
      </c>
      <c r="E41" s="38">
        <f t="shared" si="0"/>
        <v>-1</v>
      </c>
      <c r="F41" s="144">
        <f t="shared" si="1"/>
        <v>-0.5</v>
      </c>
    </row>
    <row r="42" spans="2:6" ht="15" customHeight="1" x14ac:dyDescent="0.2">
      <c r="B42" s="81" t="s">
        <v>36</v>
      </c>
      <c r="C42" s="38">
        <v>4170</v>
      </c>
      <c r="D42" s="38">
        <v>7117</v>
      </c>
      <c r="E42" s="38">
        <f t="shared" si="0"/>
        <v>2947</v>
      </c>
      <c r="F42" s="144">
        <f t="shared" si="1"/>
        <v>0.7067146282973622</v>
      </c>
    </row>
    <row r="43" spans="2:6" ht="15" customHeight="1" x14ac:dyDescent="0.2">
      <c r="B43" s="81" t="s">
        <v>295</v>
      </c>
      <c r="C43" s="38">
        <v>210</v>
      </c>
      <c r="D43" s="38">
        <v>253</v>
      </c>
      <c r="E43" s="38">
        <f t="shared" si="0"/>
        <v>43</v>
      </c>
      <c r="F43" s="144">
        <f t="shared" si="1"/>
        <v>0.2047619047619047</v>
      </c>
    </row>
    <row r="44" spans="2:6" ht="15" customHeight="1" x14ac:dyDescent="0.2">
      <c r="B44" s="81" t="s">
        <v>37</v>
      </c>
      <c r="C44" s="38">
        <v>94</v>
      </c>
      <c r="D44" s="38">
        <v>143</v>
      </c>
      <c r="E44" s="38">
        <f t="shared" si="0"/>
        <v>49</v>
      </c>
      <c r="F44" s="144">
        <f t="shared" si="1"/>
        <v>0.52127659574468077</v>
      </c>
    </row>
    <row r="45" spans="2:6" ht="12" x14ac:dyDescent="0.2">
      <c r="B45" s="81" t="s">
        <v>38</v>
      </c>
      <c r="C45" s="38">
        <v>74</v>
      </c>
      <c r="D45" s="38">
        <v>93</v>
      </c>
      <c r="E45" s="38">
        <f t="shared" si="0"/>
        <v>19</v>
      </c>
      <c r="F45" s="144">
        <f t="shared" si="1"/>
        <v>0.2567567567567568</v>
      </c>
    </row>
    <row r="46" spans="2:6" ht="12" x14ac:dyDescent="0.2">
      <c r="B46" s="81" t="s">
        <v>39</v>
      </c>
      <c r="C46" s="38">
        <v>892</v>
      </c>
      <c r="D46" s="38">
        <v>1114</v>
      </c>
      <c r="E46" s="38">
        <f t="shared" si="0"/>
        <v>222</v>
      </c>
      <c r="F46" s="144">
        <f t="shared" si="1"/>
        <v>0.24887892376681608</v>
      </c>
    </row>
    <row r="47" spans="2:6" ht="12" x14ac:dyDescent="0.2">
      <c r="B47" s="81" t="s">
        <v>34</v>
      </c>
      <c r="C47" s="38">
        <v>5825</v>
      </c>
      <c r="D47" s="38">
        <v>7089</v>
      </c>
      <c r="E47" s="38">
        <f t="shared" si="0"/>
        <v>1264</v>
      </c>
      <c r="F47" s="144">
        <f t="shared" si="1"/>
        <v>0.21699570815450642</v>
      </c>
    </row>
    <row r="48" spans="2:6" ht="12" x14ac:dyDescent="0.2">
      <c r="B48" s="81" t="s">
        <v>40</v>
      </c>
      <c r="C48" s="38">
        <v>6</v>
      </c>
      <c r="D48" s="38">
        <v>3</v>
      </c>
      <c r="E48" s="38">
        <f t="shared" si="0"/>
        <v>-3</v>
      </c>
      <c r="F48" s="144">
        <f t="shared" si="1"/>
        <v>-0.5</v>
      </c>
    </row>
    <row r="49" spans="1:6" ht="15" customHeight="1" x14ac:dyDescent="0.2">
      <c r="B49" s="81" t="s">
        <v>212</v>
      </c>
      <c r="C49" s="38">
        <v>703</v>
      </c>
      <c r="D49" s="38">
        <v>1401</v>
      </c>
      <c r="E49" s="38">
        <f t="shared" si="0"/>
        <v>698</v>
      </c>
      <c r="F49" s="144">
        <f t="shared" si="1"/>
        <v>0.99288762446657186</v>
      </c>
    </row>
    <row r="50" spans="1:6" ht="15" customHeight="1" x14ac:dyDescent="0.2">
      <c r="B50" s="81" t="s">
        <v>41</v>
      </c>
      <c r="C50" s="38">
        <v>415</v>
      </c>
      <c r="D50" s="38">
        <v>522</v>
      </c>
      <c r="E50" s="38">
        <f t="shared" si="0"/>
        <v>107</v>
      </c>
      <c r="F50" s="144">
        <f t="shared" si="1"/>
        <v>0.25783132530120478</v>
      </c>
    </row>
    <row r="51" spans="1:6" ht="15" customHeight="1" x14ac:dyDescent="0.2">
      <c r="B51" s="81" t="s">
        <v>33</v>
      </c>
      <c r="C51" s="38">
        <v>297</v>
      </c>
      <c r="D51" s="38">
        <v>493</v>
      </c>
      <c r="E51" s="38">
        <f t="shared" si="0"/>
        <v>196</v>
      </c>
      <c r="F51" s="144">
        <f t="shared" si="1"/>
        <v>0.65993265993266004</v>
      </c>
    </row>
    <row r="52" spans="1:6" ht="15" customHeight="1" x14ac:dyDescent="0.2">
      <c r="B52" s="80" t="s">
        <v>43</v>
      </c>
      <c r="C52" s="52">
        <v>22143</v>
      </c>
      <c r="D52" s="52">
        <v>28693</v>
      </c>
      <c r="E52" s="52">
        <f t="shared" si="0"/>
        <v>6550</v>
      </c>
      <c r="F52" s="143">
        <f t="shared" si="1"/>
        <v>0.29580454319649552</v>
      </c>
    </row>
    <row r="53" spans="1:6" ht="15" customHeight="1" x14ac:dyDescent="0.2">
      <c r="A53" s="11"/>
      <c r="B53" s="82" t="s">
        <v>60</v>
      </c>
      <c r="C53" s="38">
        <v>1478</v>
      </c>
      <c r="D53" s="38">
        <v>1537</v>
      </c>
      <c r="E53" s="38">
        <f t="shared" si="0"/>
        <v>59</v>
      </c>
      <c r="F53" s="144">
        <f t="shared" si="1"/>
        <v>3.9918809201623828E-2</v>
      </c>
    </row>
    <row r="54" spans="1:6" ht="15" customHeight="1" x14ac:dyDescent="0.2">
      <c r="A54" s="11"/>
      <c r="B54" s="82" t="s">
        <v>44</v>
      </c>
      <c r="C54" s="38">
        <v>1371</v>
      </c>
      <c r="D54" s="38">
        <v>1632</v>
      </c>
      <c r="E54" s="38">
        <f t="shared" si="0"/>
        <v>261</v>
      </c>
      <c r="F54" s="144">
        <f t="shared" si="1"/>
        <v>0.19037199124726478</v>
      </c>
    </row>
    <row r="55" spans="1:6" ht="15" customHeight="1" x14ac:dyDescent="0.2">
      <c r="A55" s="11"/>
      <c r="B55" s="81" t="s">
        <v>46</v>
      </c>
      <c r="C55" s="38">
        <v>10212</v>
      </c>
      <c r="D55" s="38">
        <v>14051</v>
      </c>
      <c r="E55" s="38">
        <f t="shared" si="0"/>
        <v>3839</v>
      </c>
      <c r="F55" s="144">
        <f t="shared" si="1"/>
        <v>0.37593027810419111</v>
      </c>
    </row>
    <row r="56" spans="1:6" ht="12.75" x14ac:dyDescent="0.2">
      <c r="A56" s="11"/>
      <c r="B56" s="81" t="s">
        <v>47</v>
      </c>
      <c r="C56" s="38">
        <v>7</v>
      </c>
      <c r="D56" s="38">
        <v>3</v>
      </c>
      <c r="E56" s="38">
        <f t="shared" si="0"/>
        <v>-4</v>
      </c>
      <c r="F56" s="144">
        <f t="shared" si="1"/>
        <v>-0.5714285714285714</v>
      </c>
    </row>
    <row r="57" spans="1:6" ht="12.75" x14ac:dyDescent="0.2">
      <c r="A57" s="11"/>
      <c r="B57" s="81" t="s">
        <v>48</v>
      </c>
      <c r="C57" s="38">
        <v>75</v>
      </c>
      <c r="D57" s="38">
        <v>102</v>
      </c>
      <c r="E57" s="38">
        <f t="shared" si="0"/>
        <v>27</v>
      </c>
      <c r="F57" s="144">
        <f t="shared" si="1"/>
        <v>0.3600000000000001</v>
      </c>
    </row>
    <row r="58" spans="1:6" ht="12.75" x14ac:dyDescent="0.2">
      <c r="A58" s="11"/>
      <c r="B58" s="81" t="s">
        <v>230</v>
      </c>
      <c r="C58" s="38">
        <v>4</v>
      </c>
      <c r="D58" s="38">
        <v>10</v>
      </c>
      <c r="E58" s="38">
        <f t="shared" si="0"/>
        <v>6</v>
      </c>
      <c r="F58" s="144">
        <f t="shared" si="1"/>
        <v>1.5</v>
      </c>
    </row>
    <row r="59" spans="1:6" ht="12" customHeight="1" x14ac:dyDescent="0.2">
      <c r="A59" s="11"/>
      <c r="B59" s="81" t="s">
        <v>49</v>
      </c>
      <c r="C59" s="38">
        <v>2736</v>
      </c>
      <c r="D59" s="38">
        <v>3441</v>
      </c>
      <c r="E59" s="38">
        <f t="shared" si="0"/>
        <v>705</v>
      </c>
      <c r="F59" s="144">
        <f t="shared" si="1"/>
        <v>0.25767543859649122</v>
      </c>
    </row>
    <row r="60" spans="1:6" ht="15" customHeight="1" x14ac:dyDescent="0.2">
      <c r="A60" s="11"/>
      <c r="B60" s="81" t="s">
        <v>45</v>
      </c>
      <c r="C60" s="38">
        <v>5008</v>
      </c>
      <c r="D60" s="38">
        <v>6243</v>
      </c>
      <c r="E60" s="38">
        <f t="shared" si="0"/>
        <v>1235</v>
      </c>
      <c r="F60" s="144">
        <f t="shared" si="1"/>
        <v>0.2466054313099042</v>
      </c>
    </row>
    <row r="61" spans="1:6" s="20" customFormat="1" ht="15" customHeight="1" x14ac:dyDescent="0.2">
      <c r="A61" s="11"/>
      <c r="B61" s="81" t="s">
        <v>50</v>
      </c>
      <c r="C61" s="38">
        <v>1252</v>
      </c>
      <c r="D61" s="38">
        <v>1674</v>
      </c>
      <c r="E61" s="38">
        <f t="shared" si="0"/>
        <v>422</v>
      </c>
      <c r="F61" s="144">
        <f t="shared" si="1"/>
        <v>0.33706070287539935</v>
      </c>
    </row>
    <row r="62" spans="1:6" ht="15" customHeight="1" x14ac:dyDescent="0.2">
      <c r="B62" s="80" t="s">
        <v>51</v>
      </c>
      <c r="C62" s="52">
        <v>307524</v>
      </c>
      <c r="D62" s="52">
        <v>306862</v>
      </c>
      <c r="E62" s="52">
        <f t="shared" si="0"/>
        <v>-662</v>
      </c>
      <c r="F62" s="143">
        <f t="shared" si="1"/>
        <v>-2.1526775146004651E-3</v>
      </c>
    </row>
    <row r="63" spans="1:6" ht="15" customHeight="1" x14ac:dyDescent="0.2">
      <c r="B63" s="81" t="s">
        <v>54</v>
      </c>
      <c r="C63" s="38">
        <v>225265</v>
      </c>
      <c r="D63" s="38">
        <v>238368</v>
      </c>
      <c r="E63" s="38">
        <f t="shared" si="0"/>
        <v>13103</v>
      </c>
      <c r="F63" s="144">
        <f t="shared" si="1"/>
        <v>5.8167047699376306E-2</v>
      </c>
    </row>
    <row r="64" spans="1:6" ht="15" customHeight="1" x14ac:dyDescent="0.2">
      <c r="B64" s="81" t="s">
        <v>53</v>
      </c>
      <c r="C64" s="38">
        <v>80896</v>
      </c>
      <c r="D64" s="38">
        <v>66744</v>
      </c>
      <c r="E64" s="38">
        <f t="shared" si="0"/>
        <v>-14152</v>
      </c>
      <c r="F64" s="144">
        <f t="shared" si="1"/>
        <v>-0.174940664556962</v>
      </c>
    </row>
    <row r="65" spans="1:6" ht="15" customHeight="1" x14ac:dyDescent="0.2">
      <c r="B65" s="81" t="s">
        <v>52</v>
      </c>
      <c r="C65" s="38">
        <v>1363</v>
      </c>
      <c r="D65" s="38">
        <v>1750</v>
      </c>
      <c r="E65" s="38">
        <f t="shared" si="0"/>
        <v>387</v>
      </c>
      <c r="F65" s="144">
        <f t="shared" si="1"/>
        <v>0.28393250183418939</v>
      </c>
    </row>
    <row r="66" spans="1:6" ht="15" customHeight="1" x14ac:dyDescent="0.2">
      <c r="B66" s="79" t="s">
        <v>55</v>
      </c>
      <c r="C66" s="53">
        <v>10920</v>
      </c>
      <c r="D66" s="53">
        <v>12909</v>
      </c>
      <c r="E66" s="53">
        <f t="shared" si="0"/>
        <v>1989</v>
      </c>
      <c r="F66" s="146">
        <f t="shared" si="1"/>
        <v>0.18214285714285716</v>
      </c>
    </row>
    <row r="67" spans="1:6" x14ac:dyDescent="0.2">
      <c r="B67" s="80" t="s">
        <v>56</v>
      </c>
      <c r="C67" s="54">
        <v>228</v>
      </c>
      <c r="D67" s="52">
        <v>304</v>
      </c>
      <c r="E67" s="54">
        <f t="shared" si="0"/>
        <v>76</v>
      </c>
      <c r="F67" s="147">
        <f t="shared" si="1"/>
        <v>0.33333333333333326</v>
      </c>
    </row>
    <row r="68" spans="1:6" ht="12.75" x14ac:dyDescent="0.2">
      <c r="A68" s="11"/>
      <c r="B68" s="84" t="s">
        <v>220</v>
      </c>
      <c r="C68" s="38">
        <v>0</v>
      </c>
      <c r="D68" s="38">
        <v>0</v>
      </c>
      <c r="E68" s="38">
        <f t="shared" ref="E68" si="2">D68-C68</f>
        <v>0</v>
      </c>
      <c r="F68" s="144"/>
    </row>
    <row r="69" spans="1:6" ht="15" customHeight="1" x14ac:dyDescent="0.2">
      <c r="A69" s="11"/>
      <c r="B69" s="85" t="s">
        <v>57</v>
      </c>
      <c r="C69" s="38">
        <v>9</v>
      </c>
      <c r="D69" s="38">
        <v>12</v>
      </c>
      <c r="E69" s="38">
        <f t="shared" ref="E69:E83" si="3">D69-C69</f>
        <v>3</v>
      </c>
      <c r="F69" s="144">
        <f t="shared" ref="F69:F86" si="4">D69/C69-1</f>
        <v>0.33333333333333326</v>
      </c>
    </row>
    <row r="70" spans="1:6" ht="12.75" x14ac:dyDescent="0.2">
      <c r="A70" s="11"/>
      <c r="B70" s="85" t="s">
        <v>154</v>
      </c>
      <c r="C70" s="38">
        <v>1</v>
      </c>
      <c r="D70" s="38">
        <v>3</v>
      </c>
      <c r="E70" s="38">
        <f t="shared" si="3"/>
        <v>2</v>
      </c>
      <c r="F70" s="144">
        <f t="shared" si="4"/>
        <v>2</v>
      </c>
    </row>
    <row r="71" spans="1:6" ht="12.75" x14ac:dyDescent="0.2">
      <c r="A71" s="11"/>
      <c r="B71" s="85" t="s">
        <v>58</v>
      </c>
      <c r="C71" s="38">
        <v>4</v>
      </c>
      <c r="D71" s="38">
        <v>5</v>
      </c>
      <c r="E71" s="38">
        <f t="shared" si="3"/>
        <v>1</v>
      </c>
      <c r="F71" s="144">
        <f t="shared" si="4"/>
        <v>0.25</v>
      </c>
    </row>
    <row r="72" spans="1:6" ht="12.75" x14ac:dyDescent="0.2">
      <c r="A72" s="11"/>
      <c r="B72" s="85" t="s">
        <v>185</v>
      </c>
      <c r="C72" s="38">
        <v>12</v>
      </c>
      <c r="D72" s="38">
        <v>18</v>
      </c>
      <c r="E72" s="38">
        <f t="shared" si="3"/>
        <v>6</v>
      </c>
      <c r="F72" s="144">
        <f t="shared" si="4"/>
        <v>0.5</v>
      </c>
    </row>
    <row r="73" spans="1:6" ht="15" customHeight="1" x14ac:dyDescent="0.2">
      <c r="A73" s="11"/>
      <c r="B73" s="85" t="s">
        <v>74</v>
      </c>
      <c r="C73" s="38">
        <v>81</v>
      </c>
      <c r="D73" s="38">
        <v>97</v>
      </c>
      <c r="E73" s="38">
        <f t="shared" si="3"/>
        <v>16</v>
      </c>
      <c r="F73" s="144">
        <f t="shared" si="4"/>
        <v>0.19753086419753085</v>
      </c>
    </row>
    <row r="74" spans="1:6" ht="15" customHeight="1" x14ac:dyDescent="0.2">
      <c r="A74" s="11"/>
      <c r="B74" s="84" t="s">
        <v>75</v>
      </c>
      <c r="C74" s="38">
        <v>12</v>
      </c>
      <c r="D74" s="38">
        <v>35</v>
      </c>
      <c r="E74" s="38">
        <f t="shared" si="3"/>
        <v>23</v>
      </c>
      <c r="F74" s="144">
        <f t="shared" si="4"/>
        <v>1.9166666666666665</v>
      </c>
    </row>
    <row r="75" spans="1:6" ht="12.75" x14ac:dyDescent="0.2">
      <c r="A75" s="11"/>
      <c r="B75" s="85" t="s">
        <v>227</v>
      </c>
      <c r="C75" s="38">
        <v>0</v>
      </c>
      <c r="D75" s="38">
        <v>0</v>
      </c>
      <c r="E75" s="38">
        <f t="shared" si="3"/>
        <v>0</v>
      </c>
      <c r="F75" s="144"/>
    </row>
    <row r="76" spans="1:6" ht="16.5" customHeight="1" x14ac:dyDescent="0.2">
      <c r="A76" s="11"/>
      <c r="B76" s="85" t="s">
        <v>83</v>
      </c>
      <c r="C76" s="38">
        <v>0</v>
      </c>
      <c r="D76" s="38">
        <v>0</v>
      </c>
      <c r="E76" s="38">
        <f t="shared" si="3"/>
        <v>0</v>
      </c>
      <c r="F76" s="144"/>
    </row>
    <row r="77" spans="1:6" ht="15" customHeight="1" x14ac:dyDescent="0.2">
      <c r="A77" s="11"/>
      <c r="B77" s="85" t="s">
        <v>86</v>
      </c>
      <c r="C77" s="38">
        <v>9</v>
      </c>
      <c r="D77" s="38">
        <v>12</v>
      </c>
      <c r="E77" s="38">
        <f t="shared" si="3"/>
        <v>3</v>
      </c>
      <c r="F77" s="144">
        <f t="shared" si="4"/>
        <v>0.33333333333333326</v>
      </c>
    </row>
    <row r="78" spans="1:6" ht="14.25" customHeight="1" x14ac:dyDescent="0.2">
      <c r="A78" s="11"/>
      <c r="B78" s="85" t="s">
        <v>228</v>
      </c>
      <c r="C78" s="38">
        <v>0</v>
      </c>
      <c r="D78" s="38">
        <v>0</v>
      </c>
      <c r="E78" s="38">
        <f t="shared" si="3"/>
        <v>0</v>
      </c>
      <c r="F78" s="144"/>
    </row>
    <row r="79" spans="1:6" ht="12.75" x14ac:dyDescent="0.2">
      <c r="A79" s="11"/>
      <c r="B79" s="85" t="s">
        <v>102</v>
      </c>
      <c r="C79" s="38">
        <v>41</v>
      </c>
      <c r="D79" s="38">
        <v>42</v>
      </c>
      <c r="E79" s="38">
        <f t="shared" si="3"/>
        <v>1</v>
      </c>
      <c r="F79" s="144">
        <f t="shared" si="4"/>
        <v>2.4390243902439046E-2</v>
      </c>
    </row>
    <row r="80" spans="1:6" s="20" customFormat="1" ht="12.75" x14ac:dyDescent="0.2">
      <c r="A80" s="11"/>
      <c r="B80" s="85" t="s">
        <v>116</v>
      </c>
      <c r="C80" s="38">
        <v>0</v>
      </c>
      <c r="D80" s="38">
        <v>0</v>
      </c>
      <c r="E80" s="38">
        <f t="shared" si="3"/>
        <v>0</v>
      </c>
      <c r="F80" s="144"/>
    </row>
    <row r="81" spans="1:6" ht="12.75" x14ac:dyDescent="0.2">
      <c r="A81" s="11"/>
      <c r="B81" s="85" t="s">
        <v>225</v>
      </c>
      <c r="C81" s="38">
        <v>0</v>
      </c>
      <c r="D81" s="38">
        <v>0</v>
      </c>
      <c r="E81" s="38">
        <f t="shared" si="3"/>
        <v>0</v>
      </c>
      <c r="F81" s="144"/>
    </row>
    <row r="82" spans="1:6" s="10" customFormat="1" ht="12.75" x14ac:dyDescent="0.2">
      <c r="A82" s="11"/>
      <c r="B82" s="85" t="s">
        <v>130</v>
      </c>
      <c r="C82" s="38">
        <v>0</v>
      </c>
      <c r="D82" s="38">
        <v>1</v>
      </c>
      <c r="E82" s="38">
        <f t="shared" si="3"/>
        <v>1</v>
      </c>
      <c r="F82" s="144"/>
    </row>
    <row r="83" spans="1:6" s="20" customFormat="1" ht="12.75" x14ac:dyDescent="0.2">
      <c r="A83" s="11"/>
      <c r="B83" s="85" t="s">
        <v>131</v>
      </c>
      <c r="C83" s="38">
        <v>39</v>
      </c>
      <c r="D83" s="38">
        <v>62</v>
      </c>
      <c r="E83" s="38">
        <f t="shared" si="3"/>
        <v>23</v>
      </c>
      <c r="F83" s="144">
        <f t="shared" si="4"/>
        <v>0.58974358974358965</v>
      </c>
    </row>
    <row r="84" spans="1:6" ht="15" customHeight="1" x14ac:dyDescent="0.2">
      <c r="A84" s="11"/>
      <c r="B84" s="85" t="s">
        <v>190</v>
      </c>
      <c r="C84" s="38">
        <v>9</v>
      </c>
      <c r="D84" s="38">
        <v>12</v>
      </c>
      <c r="E84" s="38">
        <f t="shared" ref="E84:E134" si="5">D84-C84</f>
        <v>3</v>
      </c>
      <c r="F84" s="144">
        <f t="shared" si="4"/>
        <v>0.33333333333333326</v>
      </c>
    </row>
    <row r="85" spans="1:6" ht="15" customHeight="1" x14ac:dyDescent="0.2">
      <c r="A85" s="11"/>
      <c r="B85" s="85" t="s">
        <v>140</v>
      </c>
      <c r="C85" s="38">
        <v>0</v>
      </c>
      <c r="D85" s="38">
        <v>0</v>
      </c>
      <c r="E85" s="38">
        <f t="shared" si="5"/>
        <v>0</v>
      </c>
      <c r="F85" s="144"/>
    </row>
    <row r="86" spans="1:6" ht="15" customHeight="1" x14ac:dyDescent="0.2">
      <c r="A86" s="11"/>
      <c r="B86" s="85" t="s">
        <v>141</v>
      </c>
      <c r="C86" s="38">
        <v>9</v>
      </c>
      <c r="D86" s="38">
        <v>2</v>
      </c>
      <c r="E86" s="38">
        <f t="shared" si="5"/>
        <v>-7</v>
      </c>
      <c r="F86" s="144">
        <f t="shared" si="4"/>
        <v>-0.77777777777777779</v>
      </c>
    </row>
    <row r="87" spans="1:6" ht="15" customHeight="1" x14ac:dyDescent="0.2">
      <c r="A87" s="11"/>
      <c r="B87" s="85" t="s">
        <v>151</v>
      </c>
      <c r="C87" s="38">
        <v>2</v>
      </c>
      <c r="D87" s="38">
        <v>3</v>
      </c>
      <c r="E87" s="38">
        <f t="shared" si="5"/>
        <v>1</v>
      </c>
      <c r="F87" s="144">
        <f t="shared" ref="F87" si="6">D87/C87-1</f>
        <v>0.5</v>
      </c>
    </row>
    <row r="88" spans="1:6" ht="15" customHeight="1" x14ac:dyDescent="0.2">
      <c r="B88" s="80" t="s">
        <v>195</v>
      </c>
      <c r="C88" s="52">
        <v>97</v>
      </c>
      <c r="D88" s="52">
        <v>104</v>
      </c>
      <c r="E88" s="52">
        <f t="shared" si="5"/>
        <v>7</v>
      </c>
      <c r="F88" s="143">
        <f t="shared" ref="F88:F138" si="7">D88/C88-1</f>
        <v>7.2164948453608213E-2</v>
      </c>
    </row>
    <row r="89" spans="1:6" ht="15" customHeight="1" x14ac:dyDescent="0.2">
      <c r="B89" s="85" t="s">
        <v>186</v>
      </c>
      <c r="C89" s="38">
        <v>0</v>
      </c>
      <c r="D89" s="38">
        <v>1</v>
      </c>
      <c r="E89" s="38">
        <f t="shared" si="5"/>
        <v>1</v>
      </c>
      <c r="F89" s="144"/>
    </row>
    <row r="90" spans="1:6" ht="15" customHeight="1" x14ac:dyDescent="0.2">
      <c r="B90" s="85" t="s">
        <v>155</v>
      </c>
      <c r="C90" s="38">
        <v>10</v>
      </c>
      <c r="D90" s="38">
        <v>11</v>
      </c>
      <c r="E90" s="38">
        <f t="shared" si="5"/>
        <v>1</v>
      </c>
      <c r="F90" s="144">
        <f t="shared" si="7"/>
        <v>0.10000000000000009</v>
      </c>
    </row>
    <row r="91" spans="1:6" ht="12" x14ac:dyDescent="0.2">
      <c r="B91" s="85" t="s">
        <v>100</v>
      </c>
      <c r="C91" s="38">
        <v>41</v>
      </c>
      <c r="D91" s="38">
        <v>39</v>
      </c>
      <c r="E91" s="38">
        <f t="shared" si="5"/>
        <v>-2</v>
      </c>
      <c r="F91" s="144">
        <f t="shared" si="7"/>
        <v>-4.8780487804878092E-2</v>
      </c>
    </row>
    <row r="92" spans="1:6" ht="15" customHeight="1" x14ac:dyDescent="0.2">
      <c r="B92" s="85" t="s">
        <v>164</v>
      </c>
      <c r="C92" s="38">
        <v>2</v>
      </c>
      <c r="D92" s="38">
        <v>2</v>
      </c>
      <c r="E92" s="38">
        <f t="shared" si="5"/>
        <v>0</v>
      </c>
      <c r="F92" s="144">
        <f t="shared" si="7"/>
        <v>0</v>
      </c>
    </row>
    <row r="93" spans="1:6" ht="12" x14ac:dyDescent="0.2">
      <c r="B93" s="85" t="s">
        <v>119</v>
      </c>
      <c r="C93" s="38">
        <v>22</v>
      </c>
      <c r="D93" s="38">
        <v>23</v>
      </c>
      <c r="E93" s="38">
        <f t="shared" si="5"/>
        <v>1</v>
      </c>
      <c r="F93" s="144">
        <f t="shared" si="7"/>
        <v>4.5454545454545414E-2</v>
      </c>
    </row>
    <row r="94" spans="1:6" ht="15" customHeight="1" x14ac:dyDescent="0.2">
      <c r="B94" s="85" t="s">
        <v>124</v>
      </c>
      <c r="C94" s="38">
        <v>13</v>
      </c>
      <c r="D94" s="38">
        <v>19</v>
      </c>
      <c r="E94" s="38">
        <f t="shared" si="5"/>
        <v>6</v>
      </c>
      <c r="F94" s="144">
        <f t="shared" si="7"/>
        <v>0.46153846153846145</v>
      </c>
    </row>
    <row r="95" spans="1:6" ht="15" customHeight="1" x14ac:dyDescent="0.2">
      <c r="B95" s="85" t="s">
        <v>152</v>
      </c>
      <c r="C95" s="38">
        <v>9</v>
      </c>
      <c r="D95" s="38">
        <v>9</v>
      </c>
      <c r="E95" s="38">
        <f t="shared" si="5"/>
        <v>0</v>
      </c>
      <c r="F95" s="144">
        <f t="shared" si="7"/>
        <v>0</v>
      </c>
    </row>
    <row r="96" spans="1:6" ht="15" customHeight="1" x14ac:dyDescent="0.2">
      <c r="A96" s="12"/>
      <c r="B96" s="80" t="s">
        <v>196</v>
      </c>
      <c r="C96" s="52">
        <v>9136</v>
      </c>
      <c r="D96" s="52">
        <v>10818</v>
      </c>
      <c r="E96" s="52">
        <f t="shared" si="5"/>
        <v>1682</v>
      </c>
      <c r="F96" s="143">
        <f t="shared" si="7"/>
        <v>0.18410683012259188</v>
      </c>
    </row>
    <row r="97" spans="2:6" ht="15" customHeight="1" x14ac:dyDescent="0.2">
      <c r="B97" s="81" t="s">
        <v>64</v>
      </c>
      <c r="C97" s="38">
        <v>7558</v>
      </c>
      <c r="D97" s="38">
        <v>9015</v>
      </c>
      <c r="E97" s="38">
        <f t="shared" si="5"/>
        <v>1457</v>
      </c>
      <c r="F97" s="144">
        <f t="shared" si="7"/>
        <v>0.19277586663138391</v>
      </c>
    </row>
    <row r="98" spans="2:6" ht="15" customHeight="1" x14ac:dyDescent="0.2">
      <c r="B98" s="81" t="s">
        <v>95</v>
      </c>
      <c r="C98" s="38">
        <v>1355</v>
      </c>
      <c r="D98" s="38">
        <v>1478</v>
      </c>
      <c r="E98" s="38">
        <f t="shared" si="5"/>
        <v>123</v>
      </c>
      <c r="F98" s="144">
        <f t="shared" si="7"/>
        <v>9.0774907749077594E-2</v>
      </c>
    </row>
    <row r="99" spans="2:6" ht="15" customHeight="1" x14ac:dyDescent="0.2">
      <c r="B99" s="81" t="s">
        <v>110</v>
      </c>
      <c r="C99" s="38">
        <v>223</v>
      </c>
      <c r="D99" s="38">
        <v>325</v>
      </c>
      <c r="E99" s="38">
        <f t="shared" si="5"/>
        <v>102</v>
      </c>
      <c r="F99" s="144">
        <f t="shared" si="7"/>
        <v>0.45739910313901344</v>
      </c>
    </row>
    <row r="100" spans="2:6" ht="15" customHeight="1" x14ac:dyDescent="0.2">
      <c r="B100" s="80" t="s">
        <v>197</v>
      </c>
      <c r="C100" s="52">
        <v>1459</v>
      </c>
      <c r="D100" s="52">
        <v>1683</v>
      </c>
      <c r="E100" s="52">
        <f t="shared" si="5"/>
        <v>224</v>
      </c>
      <c r="F100" s="143">
        <f t="shared" si="7"/>
        <v>0.15352981494174101</v>
      </c>
    </row>
    <row r="101" spans="2:6" ht="15" customHeight="1" x14ac:dyDescent="0.2">
      <c r="B101" s="82" t="s">
        <v>66</v>
      </c>
      <c r="C101" s="38">
        <v>205</v>
      </c>
      <c r="D101" s="38">
        <v>246</v>
      </c>
      <c r="E101" s="38">
        <f t="shared" si="5"/>
        <v>41</v>
      </c>
      <c r="F101" s="144">
        <f t="shared" si="7"/>
        <v>0.19999999999999996</v>
      </c>
    </row>
    <row r="102" spans="2:6" s="20" customFormat="1" ht="15" customHeight="1" x14ac:dyDescent="0.2">
      <c r="B102" s="82" t="s">
        <v>70</v>
      </c>
      <c r="C102" s="38">
        <v>18</v>
      </c>
      <c r="D102" s="38">
        <v>15</v>
      </c>
      <c r="E102" s="38">
        <f t="shared" si="5"/>
        <v>-3</v>
      </c>
      <c r="F102" s="144">
        <f t="shared" si="7"/>
        <v>-0.16666666666666663</v>
      </c>
    </row>
    <row r="103" spans="2:6" ht="15" customHeight="1" x14ac:dyDescent="0.2">
      <c r="B103" s="82" t="s">
        <v>71</v>
      </c>
      <c r="C103" s="38">
        <v>684</v>
      </c>
      <c r="D103" s="38">
        <v>793</v>
      </c>
      <c r="E103" s="38">
        <f t="shared" si="5"/>
        <v>109</v>
      </c>
      <c r="F103" s="144">
        <f t="shared" si="7"/>
        <v>0.15935672514619892</v>
      </c>
    </row>
    <row r="104" spans="2:6" ht="15" customHeight="1" x14ac:dyDescent="0.2">
      <c r="B104" s="82" t="s">
        <v>226</v>
      </c>
      <c r="C104" s="38">
        <v>1</v>
      </c>
      <c r="D104" s="38">
        <v>2</v>
      </c>
      <c r="E104" s="38">
        <f t="shared" si="5"/>
        <v>1</v>
      </c>
      <c r="F104" s="144">
        <f t="shared" si="7"/>
        <v>1</v>
      </c>
    </row>
    <row r="105" spans="2:6" ht="15" customHeight="1" x14ac:dyDescent="0.2">
      <c r="B105" s="82" t="s">
        <v>78</v>
      </c>
      <c r="C105" s="38">
        <v>64</v>
      </c>
      <c r="D105" s="38">
        <v>79</v>
      </c>
      <c r="E105" s="38">
        <f t="shared" si="5"/>
        <v>15</v>
      </c>
      <c r="F105" s="144">
        <f t="shared" si="7"/>
        <v>0.234375</v>
      </c>
    </row>
    <row r="106" spans="2:6" ht="12" x14ac:dyDescent="0.2">
      <c r="B106" s="82" t="s">
        <v>81</v>
      </c>
      <c r="C106" s="38">
        <v>33</v>
      </c>
      <c r="D106" s="38">
        <v>40</v>
      </c>
      <c r="E106" s="38">
        <f t="shared" si="5"/>
        <v>7</v>
      </c>
      <c r="F106" s="144">
        <f t="shared" si="7"/>
        <v>0.21212121212121215</v>
      </c>
    </row>
    <row r="107" spans="2:6" ht="15" customHeight="1" x14ac:dyDescent="0.2">
      <c r="B107" s="82" t="s">
        <v>294</v>
      </c>
      <c r="C107" s="38">
        <v>289</v>
      </c>
      <c r="D107" s="38">
        <v>250</v>
      </c>
      <c r="E107" s="38">
        <f t="shared" si="5"/>
        <v>-39</v>
      </c>
      <c r="F107" s="144">
        <f t="shared" si="7"/>
        <v>-0.13494809688581311</v>
      </c>
    </row>
    <row r="108" spans="2:6" ht="15" customHeight="1" x14ac:dyDescent="0.2">
      <c r="B108" s="85" t="s">
        <v>121</v>
      </c>
      <c r="C108" s="38">
        <v>10</v>
      </c>
      <c r="D108" s="38">
        <v>9</v>
      </c>
      <c r="E108" s="38">
        <f t="shared" si="5"/>
        <v>-1</v>
      </c>
      <c r="F108" s="144">
        <f t="shared" si="7"/>
        <v>-9.9999999999999978E-2</v>
      </c>
    </row>
    <row r="109" spans="2:6" ht="15" customHeight="1" x14ac:dyDescent="0.2">
      <c r="B109" s="82" t="s">
        <v>122</v>
      </c>
      <c r="C109" s="38">
        <v>61</v>
      </c>
      <c r="D109" s="38">
        <v>76</v>
      </c>
      <c r="E109" s="38">
        <f t="shared" si="5"/>
        <v>15</v>
      </c>
      <c r="F109" s="144">
        <f t="shared" si="7"/>
        <v>0.24590163934426235</v>
      </c>
    </row>
    <row r="110" spans="2:6" ht="15" customHeight="1" x14ac:dyDescent="0.2">
      <c r="B110" s="82" t="s">
        <v>233</v>
      </c>
      <c r="C110" s="38">
        <v>0</v>
      </c>
      <c r="D110" s="38">
        <v>0</v>
      </c>
      <c r="E110" s="38">
        <f t="shared" si="5"/>
        <v>0</v>
      </c>
      <c r="F110" s="144"/>
    </row>
    <row r="111" spans="2:6" s="20" customFormat="1" ht="15" customHeight="1" x14ac:dyDescent="0.2">
      <c r="B111" s="82" t="s">
        <v>234</v>
      </c>
      <c r="C111" s="38">
        <v>0</v>
      </c>
      <c r="D111" s="38">
        <v>1</v>
      </c>
      <c r="E111" s="38">
        <f t="shared" si="5"/>
        <v>1</v>
      </c>
      <c r="F111" s="144"/>
    </row>
    <row r="112" spans="2:6" ht="15" customHeight="1" x14ac:dyDescent="0.2">
      <c r="B112" s="82" t="s">
        <v>145</v>
      </c>
      <c r="C112" s="38">
        <v>16</v>
      </c>
      <c r="D112" s="38">
        <v>79</v>
      </c>
      <c r="E112" s="38">
        <f t="shared" si="5"/>
        <v>63</v>
      </c>
      <c r="F112" s="144">
        <f t="shared" si="7"/>
        <v>3.9375</v>
      </c>
    </row>
    <row r="113" spans="2:6" ht="16.5" customHeight="1" x14ac:dyDescent="0.2">
      <c r="B113" s="84" t="s">
        <v>149</v>
      </c>
      <c r="C113" s="38">
        <v>78</v>
      </c>
      <c r="D113" s="38">
        <v>93</v>
      </c>
      <c r="E113" s="38">
        <f t="shared" si="5"/>
        <v>15</v>
      </c>
      <c r="F113" s="144">
        <f t="shared" si="7"/>
        <v>0.19230769230769229</v>
      </c>
    </row>
    <row r="114" spans="2:6" ht="33.75" customHeight="1" x14ac:dyDescent="0.2">
      <c r="B114" s="86" t="s">
        <v>198</v>
      </c>
      <c r="C114" s="53">
        <v>90672</v>
      </c>
      <c r="D114" s="53">
        <v>70833</v>
      </c>
      <c r="E114" s="53">
        <f t="shared" si="5"/>
        <v>-19839</v>
      </c>
      <c r="F114" s="146">
        <f t="shared" si="7"/>
        <v>-0.21879962943356268</v>
      </c>
    </row>
    <row r="115" spans="2:6" ht="21.75" customHeight="1" x14ac:dyDescent="0.2">
      <c r="B115" s="80" t="s">
        <v>199</v>
      </c>
      <c r="C115" s="52">
        <v>16437</v>
      </c>
      <c r="D115" s="52">
        <v>23660</v>
      </c>
      <c r="E115" s="52">
        <f t="shared" si="5"/>
        <v>7223</v>
      </c>
      <c r="F115" s="143">
        <f t="shared" si="7"/>
        <v>0.43943542008882397</v>
      </c>
    </row>
    <row r="116" spans="2:6" ht="12" x14ac:dyDescent="0.2">
      <c r="B116" s="87" t="s">
        <v>87</v>
      </c>
      <c r="C116" s="38">
        <v>1471</v>
      </c>
      <c r="D116" s="38">
        <v>1344</v>
      </c>
      <c r="E116" s="38">
        <f t="shared" si="5"/>
        <v>-127</v>
      </c>
      <c r="F116" s="144">
        <f t="shared" si="7"/>
        <v>-8.6335825968728797E-2</v>
      </c>
    </row>
    <row r="117" spans="2:6" ht="15" customHeight="1" x14ac:dyDescent="0.2">
      <c r="B117" s="87" t="s">
        <v>99</v>
      </c>
      <c r="C117" s="38">
        <v>936</v>
      </c>
      <c r="D117" s="38">
        <v>1565</v>
      </c>
      <c r="E117" s="38">
        <f t="shared" si="5"/>
        <v>629</v>
      </c>
      <c r="F117" s="144">
        <f t="shared" si="7"/>
        <v>0.67200854700854706</v>
      </c>
    </row>
    <row r="118" spans="2:6" ht="12" x14ac:dyDescent="0.2">
      <c r="B118" s="87" t="s">
        <v>113</v>
      </c>
      <c r="C118" s="38">
        <v>155</v>
      </c>
      <c r="D118" s="38">
        <v>136</v>
      </c>
      <c r="E118" s="38">
        <f t="shared" si="5"/>
        <v>-19</v>
      </c>
      <c r="F118" s="144">
        <f t="shared" si="7"/>
        <v>-0.1225806451612903</v>
      </c>
    </row>
    <row r="119" spans="2:6" ht="15" customHeight="1" x14ac:dyDescent="0.2">
      <c r="B119" s="83" t="s">
        <v>138</v>
      </c>
      <c r="C119" s="38">
        <v>0</v>
      </c>
      <c r="D119" s="38">
        <v>1</v>
      </c>
      <c r="E119" s="38">
        <f t="shared" si="5"/>
        <v>1</v>
      </c>
      <c r="F119" s="144"/>
    </row>
    <row r="120" spans="2:6" ht="12" x14ac:dyDescent="0.2">
      <c r="B120" s="83" t="s">
        <v>150</v>
      </c>
      <c r="C120" s="38">
        <v>13875</v>
      </c>
      <c r="D120" s="38">
        <v>20612</v>
      </c>
      <c r="E120" s="38">
        <f t="shared" si="5"/>
        <v>6737</v>
      </c>
      <c r="F120" s="144">
        <f t="shared" si="7"/>
        <v>0.48554954954954965</v>
      </c>
    </row>
    <row r="121" spans="2:6" ht="15" customHeight="1" x14ac:dyDescent="0.2">
      <c r="B121" s="83" t="s">
        <v>165</v>
      </c>
      <c r="C121" s="38">
        <v>0</v>
      </c>
      <c r="D121" s="38">
        <v>0</v>
      </c>
      <c r="E121" s="38">
        <f t="shared" si="5"/>
        <v>0</v>
      </c>
      <c r="F121" s="144"/>
    </row>
    <row r="122" spans="2:6" ht="15" customHeight="1" x14ac:dyDescent="0.2">
      <c r="B122" s="83" t="s">
        <v>160</v>
      </c>
      <c r="C122" s="38">
        <v>0</v>
      </c>
      <c r="D122" s="38">
        <v>2</v>
      </c>
      <c r="E122" s="38">
        <f t="shared" si="5"/>
        <v>2</v>
      </c>
      <c r="F122" s="144"/>
    </row>
    <row r="123" spans="2:6" ht="15" customHeight="1" x14ac:dyDescent="0.2">
      <c r="B123" s="80" t="s">
        <v>200</v>
      </c>
      <c r="C123" s="52">
        <v>1310</v>
      </c>
      <c r="D123" s="52">
        <v>1549</v>
      </c>
      <c r="E123" s="52">
        <f t="shared" si="5"/>
        <v>239</v>
      </c>
      <c r="F123" s="143">
        <f t="shared" si="7"/>
        <v>0.1824427480916031</v>
      </c>
    </row>
    <row r="124" spans="2:6" ht="17.25" customHeight="1" x14ac:dyDescent="0.2">
      <c r="B124" s="83" t="s">
        <v>59</v>
      </c>
      <c r="C124" s="38">
        <v>1122</v>
      </c>
      <c r="D124" s="38">
        <v>1278</v>
      </c>
      <c r="E124" s="38">
        <f t="shared" si="5"/>
        <v>156</v>
      </c>
      <c r="F124" s="144">
        <f t="shared" si="7"/>
        <v>0.1390374331550801</v>
      </c>
    </row>
    <row r="125" spans="2:6" ht="15" customHeight="1" x14ac:dyDescent="0.2">
      <c r="B125" s="83" t="s">
        <v>63</v>
      </c>
      <c r="C125" s="38">
        <v>0</v>
      </c>
      <c r="D125" s="38">
        <v>0</v>
      </c>
      <c r="E125" s="38">
        <f t="shared" si="5"/>
        <v>0</v>
      </c>
      <c r="F125" s="144"/>
    </row>
    <row r="126" spans="2:6" ht="15" customHeight="1" x14ac:dyDescent="0.2">
      <c r="B126" s="83" t="s">
        <v>67</v>
      </c>
      <c r="C126" s="38">
        <v>162</v>
      </c>
      <c r="D126" s="38">
        <v>245</v>
      </c>
      <c r="E126" s="38">
        <f t="shared" si="5"/>
        <v>83</v>
      </c>
      <c r="F126" s="144">
        <f t="shared" si="7"/>
        <v>0.51234567901234573</v>
      </c>
    </row>
    <row r="127" spans="2:6" ht="15" customHeight="1" x14ac:dyDescent="0.2">
      <c r="B127" s="83" t="s">
        <v>162</v>
      </c>
      <c r="C127" s="38">
        <v>15</v>
      </c>
      <c r="D127" s="38">
        <v>19</v>
      </c>
      <c r="E127" s="38">
        <f t="shared" si="5"/>
        <v>4</v>
      </c>
      <c r="F127" s="144">
        <f t="shared" si="7"/>
        <v>0.26666666666666661</v>
      </c>
    </row>
    <row r="128" spans="2:6" ht="15" customHeight="1" x14ac:dyDescent="0.2">
      <c r="B128" s="83" t="s">
        <v>80</v>
      </c>
      <c r="C128" s="38">
        <v>0</v>
      </c>
      <c r="D128" s="38">
        <v>0</v>
      </c>
      <c r="E128" s="38">
        <f t="shared" si="5"/>
        <v>0</v>
      </c>
      <c r="F128" s="144"/>
    </row>
    <row r="129" spans="1:6" ht="15" customHeight="1" x14ac:dyDescent="0.2">
      <c r="B129" s="83" t="s">
        <v>109</v>
      </c>
      <c r="C129" s="38">
        <v>0</v>
      </c>
      <c r="D129" s="38">
        <v>0</v>
      </c>
      <c r="E129" s="38">
        <f t="shared" si="5"/>
        <v>0</v>
      </c>
      <c r="F129" s="144"/>
    </row>
    <row r="130" spans="1:6" ht="15" customHeight="1" x14ac:dyDescent="0.2">
      <c r="B130" s="83" t="s">
        <v>181</v>
      </c>
      <c r="C130" s="38">
        <v>0</v>
      </c>
      <c r="D130" s="38">
        <v>0</v>
      </c>
      <c r="E130" s="38">
        <f t="shared" si="5"/>
        <v>0</v>
      </c>
      <c r="F130" s="144"/>
    </row>
    <row r="131" spans="1:6" ht="15" customHeight="1" x14ac:dyDescent="0.2">
      <c r="B131" s="83" t="s">
        <v>189</v>
      </c>
      <c r="C131" s="38">
        <v>0</v>
      </c>
      <c r="D131" s="38">
        <v>0</v>
      </c>
      <c r="E131" s="38">
        <f t="shared" si="5"/>
        <v>0</v>
      </c>
      <c r="F131" s="144"/>
    </row>
    <row r="132" spans="1:6" ht="15" customHeight="1" x14ac:dyDescent="0.2">
      <c r="B132" s="83" t="s">
        <v>120</v>
      </c>
      <c r="C132" s="38">
        <v>0</v>
      </c>
      <c r="D132" s="38">
        <v>0</v>
      </c>
      <c r="E132" s="38">
        <f t="shared" si="5"/>
        <v>0</v>
      </c>
      <c r="F132" s="144"/>
    </row>
    <row r="133" spans="1:6" s="10" customFormat="1" ht="15" customHeight="1" x14ac:dyDescent="0.2">
      <c r="B133" s="83" t="s">
        <v>175</v>
      </c>
      <c r="C133" s="38">
        <v>0</v>
      </c>
      <c r="D133" s="38">
        <v>0</v>
      </c>
      <c r="E133" s="38">
        <f t="shared" si="5"/>
        <v>0</v>
      </c>
      <c r="F133" s="144"/>
    </row>
    <row r="134" spans="1:6" s="10" customFormat="1" ht="15" customHeight="1" x14ac:dyDescent="0.2">
      <c r="B134" s="83" t="s">
        <v>127</v>
      </c>
      <c r="C134" s="38">
        <v>0</v>
      </c>
      <c r="D134" s="38">
        <v>0</v>
      </c>
      <c r="E134" s="38">
        <f t="shared" si="5"/>
        <v>0</v>
      </c>
      <c r="F134" s="144"/>
    </row>
    <row r="135" spans="1:6" s="10" customFormat="1" ht="15" customHeight="1" x14ac:dyDescent="0.2">
      <c r="B135" s="83" t="s">
        <v>176</v>
      </c>
      <c r="C135" s="38">
        <v>0</v>
      </c>
      <c r="D135" s="38">
        <v>0</v>
      </c>
      <c r="E135" s="38">
        <f t="shared" ref="E135:E137" si="8">D135-C135</f>
        <v>0</v>
      </c>
      <c r="F135" s="144"/>
    </row>
    <row r="136" spans="1:6" s="10" customFormat="1" ht="15" customHeight="1" x14ac:dyDescent="0.2">
      <c r="B136" s="83" t="s">
        <v>178</v>
      </c>
      <c r="C136" s="38">
        <v>0</v>
      </c>
      <c r="D136" s="38">
        <v>2</v>
      </c>
      <c r="E136" s="38">
        <f t="shared" si="8"/>
        <v>2</v>
      </c>
      <c r="F136" s="144"/>
    </row>
    <row r="137" spans="1:6" s="10" customFormat="1" ht="15" customHeight="1" x14ac:dyDescent="0.2">
      <c r="B137" s="83" t="s">
        <v>142</v>
      </c>
      <c r="C137" s="38">
        <v>0</v>
      </c>
      <c r="D137" s="38">
        <v>0</v>
      </c>
      <c r="E137" s="38">
        <f t="shared" si="8"/>
        <v>0</v>
      </c>
      <c r="F137" s="144"/>
    </row>
    <row r="138" spans="1:6" s="10" customFormat="1" ht="15" customHeight="1" x14ac:dyDescent="0.2">
      <c r="B138" s="83" t="s">
        <v>179</v>
      </c>
      <c r="C138" s="38">
        <v>11</v>
      </c>
      <c r="D138" s="38">
        <v>5</v>
      </c>
      <c r="E138" s="38">
        <f t="shared" ref="E138:E197" si="9">D138-C138</f>
        <v>-6</v>
      </c>
      <c r="F138" s="144">
        <f t="shared" si="7"/>
        <v>-0.54545454545454541</v>
      </c>
    </row>
    <row r="139" spans="1:6" ht="15" customHeight="1" x14ac:dyDescent="0.2">
      <c r="B139" s="80" t="s">
        <v>201</v>
      </c>
      <c r="C139" s="52">
        <v>57735</v>
      </c>
      <c r="D139" s="52">
        <v>34404</v>
      </c>
      <c r="E139" s="52">
        <f t="shared" si="9"/>
        <v>-23331</v>
      </c>
      <c r="F139" s="143">
        <f t="shared" ref="F139:F197" si="10">D139/C139-1</f>
        <v>-0.4041049623278774</v>
      </c>
    </row>
    <row r="140" spans="1:6" ht="15" customHeight="1" x14ac:dyDescent="0.2">
      <c r="A140" s="11"/>
      <c r="B140" s="82" t="s">
        <v>61</v>
      </c>
      <c r="C140" s="38">
        <v>97</v>
      </c>
      <c r="D140" s="38">
        <v>62</v>
      </c>
      <c r="E140" s="38">
        <f t="shared" si="9"/>
        <v>-35</v>
      </c>
      <c r="F140" s="144">
        <f t="shared" si="10"/>
        <v>-0.36082474226804129</v>
      </c>
    </row>
    <row r="141" spans="1:6" ht="15" customHeight="1" x14ac:dyDescent="0.2">
      <c r="A141" s="11"/>
      <c r="B141" s="82" t="s">
        <v>68</v>
      </c>
      <c r="C141" s="38">
        <v>424</v>
      </c>
      <c r="D141" s="38">
        <v>169</v>
      </c>
      <c r="E141" s="38">
        <f t="shared" si="9"/>
        <v>-255</v>
      </c>
      <c r="F141" s="144">
        <f t="shared" si="10"/>
        <v>-0.60141509433962259</v>
      </c>
    </row>
    <row r="142" spans="1:6" s="10" customFormat="1" ht="15" customHeight="1" x14ac:dyDescent="0.2">
      <c r="A142" s="11"/>
      <c r="B142" s="82" t="s">
        <v>187</v>
      </c>
      <c r="C142" s="38">
        <v>10</v>
      </c>
      <c r="D142" s="38">
        <v>11</v>
      </c>
      <c r="E142" s="38">
        <f t="shared" si="9"/>
        <v>1</v>
      </c>
      <c r="F142" s="144">
        <f t="shared" si="10"/>
        <v>0.10000000000000009</v>
      </c>
    </row>
    <row r="143" spans="1:6" ht="15" customHeight="1" x14ac:dyDescent="0.2">
      <c r="A143" s="11"/>
      <c r="B143" s="82" t="s">
        <v>89</v>
      </c>
      <c r="C143" s="38">
        <v>26372</v>
      </c>
      <c r="D143" s="38">
        <v>18587</v>
      </c>
      <c r="E143" s="38">
        <f t="shared" si="9"/>
        <v>-7785</v>
      </c>
      <c r="F143" s="144">
        <f t="shared" si="10"/>
        <v>-0.29519945396632796</v>
      </c>
    </row>
    <row r="144" spans="1:6" ht="12.75" x14ac:dyDescent="0.2">
      <c r="A144" s="11"/>
      <c r="B144" s="82" t="s">
        <v>92</v>
      </c>
      <c r="C144" s="38">
        <v>26859</v>
      </c>
      <c r="D144" s="38">
        <v>13757</v>
      </c>
      <c r="E144" s="38">
        <f t="shared" si="9"/>
        <v>-13102</v>
      </c>
      <c r="F144" s="144">
        <f t="shared" si="10"/>
        <v>-0.48780669421795297</v>
      </c>
    </row>
    <row r="145" spans="1:6" ht="12.75" x14ac:dyDescent="0.2">
      <c r="A145" s="11"/>
      <c r="B145" s="85" t="s">
        <v>173</v>
      </c>
      <c r="C145" s="38">
        <v>24</v>
      </c>
      <c r="D145" s="38">
        <v>25</v>
      </c>
      <c r="E145" s="38">
        <f t="shared" si="9"/>
        <v>1</v>
      </c>
      <c r="F145" s="144">
        <f t="shared" si="10"/>
        <v>4.1666666666666741E-2</v>
      </c>
    </row>
    <row r="146" spans="1:6" ht="15" customHeight="1" x14ac:dyDescent="0.2">
      <c r="A146" s="11"/>
      <c r="B146" s="82" t="s">
        <v>114</v>
      </c>
      <c r="C146" s="38">
        <v>470</v>
      </c>
      <c r="D146" s="38">
        <v>253</v>
      </c>
      <c r="E146" s="38">
        <f t="shared" si="9"/>
        <v>-217</v>
      </c>
      <c r="F146" s="144">
        <f t="shared" si="10"/>
        <v>-0.46170212765957441</v>
      </c>
    </row>
    <row r="147" spans="1:6" ht="15" customHeight="1" x14ac:dyDescent="0.2">
      <c r="A147" s="11"/>
      <c r="B147" s="82" t="s">
        <v>118</v>
      </c>
      <c r="C147" s="38">
        <v>2668</v>
      </c>
      <c r="D147" s="38">
        <v>820</v>
      </c>
      <c r="E147" s="38">
        <f t="shared" si="9"/>
        <v>-1848</v>
      </c>
      <c r="F147" s="144">
        <f t="shared" si="10"/>
        <v>-0.6926536731634183</v>
      </c>
    </row>
    <row r="148" spans="1:6" ht="15" customHeight="1" x14ac:dyDescent="0.2">
      <c r="A148" s="11"/>
      <c r="B148" s="82" t="s">
        <v>148</v>
      </c>
      <c r="C148" s="38">
        <v>811</v>
      </c>
      <c r="D148" s="38">
        <v>720</v>
      </c>
      <c r="E148" s="38">
        <f t="shared" si="9"/>
        <v>-91</v>
      </c>
      <c r="F148" s="144">
        <f t="shared" si="10"/>
        <v>-0.11220715166461159</v>
      </c>
    </row>
    <row r="149" spans="1:6" ht="15" customHeight="1" x14ac:dyDescent="0.2">
      <c r="A149" s="11"/>
      <c r="B149" s="80" t="s">
        <v>202</v>
      </c>
      <c r="C149" s="52">
        <v>15190</v>
      </c>
      <c r="D149" s="52">
        <v>11220</v>
      </c>
      <c r="E149" s="52">
        <f t="shared" si="9"/>
        <v>-3970</v>
      </c>
      <c r="F149" s="143">
        <f t="shared" si="10"/>
        <v>-0.26135615536537193</v>
      </c>
    </row>
    <row r="150" spans="1:6" ht="15" customHeight="1" x14ac:dyDescent="0.2">
      <c r="B150" s="82" t="s">
        <v>221</v>
      </c>
      <c r="C150" s="38">
        <v>4</v>
      </c>
      <c r="D150" s="38">
        <v>2</v>
      </c>
      <c r="E150" s="38">
        <f t="shared" si="9"/>
        <v>-2</v>
      </c>
      <c r="F150" s="144">
        <f t="shared" si="10"/>
        <v>-0.5</v>
      </c>
    </row>
    <row r="151" spans="1:6" ht="12" x14ac:dyDescent="0.2">
      <c r="B151" s="85" t="s">
        <v>82</v>
      </c>
      <c r="C151" s="38">
        <v>164</v>
      </c>
      <c r="D151" s="38">
        <v>302</v>
      </c>
      <c r="E151" s="38">
        <f t="shared" si="9"/>
        <v>138</v>
      </c>
      <c r="F151" s="144">
        <f t="shared" si="10"/>
        <v>0.84146341463414642</v>
      </c>
    </row>
    <row r="152" spans="1:6" ht="15" customHeight="1" x14ac:dyDescent="0.2">
      <c r="B152" s="85" t="s">
        <v>90</v>
      </c>
      <c r="C152" s="38">
        <v>689</v>
      </c>
      <c r="D152" s="38">
        <v>1014</v>
      </c>
      <c r="E152" s="38">
        <f t="shared" si="9"/>
        <v>325</v>
      </c>
      <c r="F152" s="144">
        <f t="shared" si="10"/>
        <v>0.47169811320754707</v>
      </c>
    </row>
    <row r="153" spans="1:6" ht="12" x14ac:dyDescent="0.2">
      <c r="B153" s="85" t="s">
        <v>171</v>
      </c>
      <c r="C153" s="38">
        <v>4</v>
      </c>
      <c r="D153" s="38">
        <v>24</v>
      </c>
      <c r="E153" s="38">
        <f t="shared" si="9"/>
        <v>20</v>
      </c>
      <c r="F153" s="144">
        <f t="shared" si="10"/>
        <v>5</v>
      </c>
    </row>
    <row r="154" spans="1:6" ht="12" x14ac:dyDescent="0.2">
      <c r="B154" s="85" t="s">
        <v>229</v>
      </c>
      <c r="C154" s="38">
        <v>1</v>
      </c>
      <c r="D154" s="38">
        <v>5</v>
      </c>
      <c r="E154" s="38">
        <f t="shared" si="9"/>
        <v>4</v>
      </c>
      <c r="F154" s="144">
        <f t="shared" si="10"/>
        <v>4</v>
      </c>
    </row>
    <row r="155" spans="1:6" ht="15" customHeight="1" x14ac:dyDescent="0.2">
      <c r="B155" s="85" t="s">
        <v>107</v>
      </c>
      <c r="C155" s="38">
        <v>693</v>
      </c>
      <c r="D155" s="38">
        <v>824</v>
      </c>
      <c r="E155" s="38">
        <f t="shared" si="9"/>
        <v>131</v>
      </c>
      <c r="F155" s="144">
        <f t="shared" si="10"/>
        <v>0.18903318903318911</v>
      </c>
    </row>
    <row r="156" spans="1:6" ht="15" customHeight="1" x14ac:dyDescent="0.2">
      <c r="B156" s="85" t="s">
        <v>111</v>
      </c>
      <c r="C156" s="38">
        <v>133</v>
      </c>
      <c r="D156" s="38">
        <v>148</v>
      </c>
      <c r="E156" s="38">
        <f t="shared" si="9"/>
        <v>15</v>
      </c>
      <c r="F156" s="144">
        <f t="shared" si="10"/>
        <v>0.11278195488721798</v>
      </c>
    </row>
    <row r="157" spans="1:6" ht="15" customHeight="1" x14ac:dyDescent="0.2">
      <c r="B157" s="85" t="s">
        <v>133</v>
      </c>
      <c r="C157" s="38">
        <v>235</v>
      </c>
      <c r="D157" s="38">
        <v>316</v>
      </c>
      <c r="E157" s="38">
        <f t="shared" si="9"/>
        <v>81</v>
      </c>
      <c r="F157" s="144">
        <f t="shared" si="10"/>
        <v>0.34468085106382973</v>
      </c>
    </row>
    <row r="158" spans="1:6" s="20" customFormat="1" ht="15" customHeight="1" x14ac:dyDescent="0.2">
      <c r="B158" s="85" t="s">
        <v>139</v>
      </c>
      <c r="C158" s="38">
        <v>2967</v>
      </c>
      <c r="D158" s="38">
        <v>1936</v>
      </c>
      <c r="E158" s="38">
        <f t="shared" si="9"/>
        <v>-1031</v>
      </c>
      <c r="F158" s="144">
        <f t="shared" si="10"/>
        <v>-0.34748904617458709</v>
      </c>
    </row>
    <row r="159" spans="1:6" ht="15" customHeight="1" x14ac:dyDescent="0.2">
      <c r="B159" s="85" t="s">
        <v>146</v>
      </c>
      <c r="C159" s="38">
        <v>10300</v>
      </c>
      <c r="D159" s="38">
        <v>6649</v>
      </c>
      <c r="E159" s="38">
        <f t="shared" si="9"/>
        <v>-3651</v>
      </c>
      <c r="F159" s="144">
        <f t="shared" si="10"/>
        <v>-0.35446601941747569</v>
      </c>
    </row>
    <row r="160" spans="1:6" ht="15" customHeight="1" x14ac:dyDescent="0.2">
      <c r="B160" s="86" t="s">
        <v>213</v>
      </c>
      <c r="C160" s="55">
        <v>26785</v>
      </c>
      <c r="D160" s="55">
        <v>27779</v>
      </c>
      <c r="E160" s="55">
        <f t="shared" si="9"/>
        <v>994</v>
      </c>
      <c r="F160" s="148">
        <f t="shared" si="10"/>
        <v>3.7110322941945162E-2</v>
      </c>
    </row>
    <row r="161" spans="2:6" ht="15" customHeight="1" x14ac:dyDescent="0.2">
      <c r="B161" s="82" t="s">
        <v>65</v>
      </c>
      <c r="C161" s="38">
        <v>2642</v>
      </c>
      <c r="D161" s="38">
        <v>2118</v>
      </c>
      <c r="E161" s="38">
        <f t="shared" si="9"/>
        <v>-524</v>
      </c>
      <c r="F161" s="144">
        <f t="shared" si="10"/>
        <v>-0.19833459500378503</v>
      </c>
    </row>
    <row r="162" spans="2:6" ht="15" customHeight="1" x14ac:dyDescent="0.2">
      <c r="B162" s="82" t="s">
        <v>69</v>
      </c>
      <c r="C162" s="38">
        <v>689</v>
      </c>
      <c r="D162" s="38">
        <v>833</v>
      </c>
      <c r="E162" s="38">
        <f t="shared" si="9"/>
        <v>144</v>
      </c>
      <c r="F162" s="144">
        <f t="shared" si="10"/>
        <v>0.20899854862119005</v>
      </c>
    </row>
    <row r="163" spans="2:6" ht="15" customHeight="1" x14ac:dyDescent="0.2">
      <c r="B163" s="88" t="s">
        <v>76</v>
      </c>
      <c r="C163" s="38">
        <v>2450</v>
      </c>
      <c r="D163" s="38">
        <v>2249</v>
      </c>
      <c r="E163" s="38">
        <f t="shared" si="9"/>
        <v>-201</v>
      </c>
      <c r="F163" s="144">
        <f t="shared" si="10"/>
        <v>-8.2040816326530597E-2</v>
      </c>
    </row>
    <row r="164" spans="2:6" ht="15" customHeight="1" x14ac:dyDescent="0.2">
      <c r="B164" s="89" t="s">
        <v>79</v>
      </c>
      <c r="C164" s="38">
        <v>589</v>
      </c>
      <c r="D164" s="38">
        <v>622</v>
      </c>
      <c r="E164" s="38">
        <f t="shared" si="9"/>
        <v>33</v>
      </c>
      <c r="F164" s="144">
        <f t="shared" si="10"/>
        <v>5.6027164685908293E-2</v>
      </c>
    </row>
    <row r="165" spans="2:6" ht="15" customHeight="1" x14ac:dyDescent="0.2">
      <c r="B165" s="89" t="s">
        <v>88</v>
      </c>
      <c r="C165" s="38">
        <v>715</v>
      </c>
      <c r="D165" s="38">
        <v>359</v>
      </c>
      <c r="E165" s="38">
        <f t="shared" si="9"/>
        <v>-356</v>
      </c>
      <c r="F165" s="144">
        <f t="shared" si="10"/>
        <v>-0.49790209790209794</v>
      </c>
    </row>
    <row r="166" spans="2:6" ht="15" customHeight="1" x14ac:dyDescent="0.2">
      <c r="B166" s="89" t="s">
        <v>91</v>
      </c>
      <c r="C166" s="38">
        <v>4105</v>
      </c>
      <c r="D166" s="38">
        <v>4772</v>
      </c>
      <c r="E166" s="38">
        <f t="shared" si="9"/>
        <v>667</v>
      </c>
      <c r="F166" s="144">
        <f t="shared" si="10"/>
        <v>0.16248477466504263</v>
      </c>
    </row>
    <row r="167" spans="2:6" ht="12" x14ac:dyDescent="0.2">
      <c r="B167" s="81" t="s">
        <v>96</v>
      </c>
      <c r="C167" s="38">
        <v>391</v>
      </c>
      <c r="D167" s="38">
        <v>362</v>
      </c>
      <c r="E167" s="38">
        <f t="shared" si="9"/>
        <v>-29</v>
      </c>
      <c r="F167" s="144">
        <f t="shared" si="10"/>
        <v>-7.4168797953964249E-2</v>
      </c>
    </row>
    <row r="168" spans="2:6" ht="15" customHeight="1" x14ac:dyDescent="0.2">
      <c r="B168" s="81" t="s">
        <v>103</v>
      </c>
      <c r="C168" s="38">
        <v>2631</v>
      </c>
      <c r="D168" s="38">
        <v>3083</v>
      </c>
      <c r="E168" s="38">
        <f t="shared" si="9"/>
        <v>452</v>
      </c>
      <c r="F168" s="144">
        <f t="shared" si="10"/>
        <v>0.1717977955150134</v>
      </c>
    </row>
    <row r="169" spans="2:6" ht="15" customHeight="1" x14ac:dyDescent="0.2">
      <c r="B169" s="81" t="s">
        <v>157</v>
      </c>
      <c r="C169" s="38">
        <v>19</v>
      </c>
      <c r="D169" s="38">
        <v>43</v>
      </c>
      <c r="E169" s="38">
        <f t="shared" si="9"/>
        <v>24</v>
      </c>
      <c r="F169" s="144">
        <f t="shared" si="10"/>
        <v>1.263157894736842</v>
      </c>
    </row>
    <row r="170" spans="2:6" ht="15" customHeight="1" x14ac:dyDescent="0.2">
      <c r="B170" s="81" t="s">
        <v>117</v>
      </c>
      <c r="C170" s="38">
        <v>452</v>
      </c>
      <c r="D170" s="38">
        <v>457</v>
      </c>
      <c r="E170" s="38">
        <f t="shared" si="9"/>
        <v>5</v>
      </c>
      <c r="F170" s="144">
        <f t="shared" si="10"/>
        <v>1.106194690265494E-2</v>
      </c>
    </row>
    <row r="171" spans="2:6" ht="12" x14ac:dyDescent="0.2">
      <c r="B171" s="81" t="s">
        <v>126</v>
      </c>
      <c r="C171" s="38">
        <v>6500</v>
      </c>
      <c r="D171" s="38">
        <v>8862</v>
      </c>
      <c r="E171" s="38">
        <f t="shared" si="9"/>
        <v>2362</v>
      </c>
      <c r="F171" s="144">
        <f t="shared" si="10"/>
        <v>0.36338461538461542</v>
      </c>
    </row>
    <row r="172" spans="2:6" ht="15" customHeight="1" x14ac:dyDescent="0.2">
      <c r="B172" s="82" t="s">
        <v>134</v>
      </c>
      <c r="C172" s="38">
        <v>1596</v>
      </c>
      <c r="D172" s="38">
        <v>764</v>
      </c>
      <c r="E172" s="38">
        <f t="shared" si="9"/>
        <v>-832</v>
      </c>
      <c r="F172" s="144">
        <f t="shared" si="10"/>
        <v>-0.52130325814536338</v>
      </c>
    </row>
    <row r="173" spans="2:6" ht="15" customHeight="1" x14ac:dyDescent="0.2">
      <c r="B173" s="81" t="s">
        <v>147</v>
      </c>
      <c r="C173" s="38">
        <v>4006</v>
      </c>
      <c r="D173" s="38">
        <v>3255</v>
      </c>
      <c r="E173" s="38">
        <f t="shared" si="9"/>
        <v>-751</v>
      </c>
      <c r="F173" s="144">
        <f t="shared" si="10"/>
        <v>-0.18746879680479278</v>
      </c>
    </row>
    <row r="174" spans="2:6" ht="15" customHeight="1" x14ac:dyDescent="0.2">
      <c r="B174" s="86" t="s">
        <v>204</v>
      </c>
      <c r="C174" s="53">
        <v>4428</v>
      </c>
      <c r="D174" s="53">
        <v>3625</v>
      </c>
      <c r="E174" s="53">
        <f t="shared" si="9"/>
        <v>-803</v>
      </c>
      <c r="F174" s="146">
        <f t="shared" si="10"/>
        <v>-0.18134598012646796</v>
      </c>
    </row>
    <row r="175" spans="2:6" ht="15" customHeight="1" x14ac:dyDescent="0.2">
      <c r="B175" s="80" t="s">
        <v>205</v>
      </c>
      <c r="C175" s="51">
        <v>737</v>
      </c>
      <c r="D175" s="52">
        <v>425</v>
      </c>
      <c r="E175" s="51">
        <f t="shared" si="9"/>
        <v>-312</v>
      </c>
      <c r="F175" s="143">
        <f t="shared" si="10"/>
        <v>-0.42333785617367703</v>
      </c>
    </row>
    <row r="176" spans="2:6" s="9" customFormat="1" ht="15" customHeight="1" x14ac:dyDescent="0.2">
      <c r="B176" s="85" t="s">
        <v>168</v>
      </c>
      <c r="C176" s="38">
        <v>1</v>
      </c>
      <c r="D176" s="38">
        <v>4</v>
      </c>
      <c r="E176" s="38">
        <f t="shared" si="9"/>
        <v>3</v>
      </c>
      <c r="F176" s="144">
        <f t="shared" si="10"/>
        <v>3</v>
      </c>
    </row>
    <row r="177" spans="2:6" ht="15" customHeight="1" x14ac:dyDescent="0.2">
      <c r="B177" s="85" t="s">
        <v>77</v>
      </c>
      <c r="C177" s="38">
        <v>113</v>
      </c>
      <c r="D177" s="38">
        <v>51</v>
      </c>
      <c r="E177" s="38">
        <f t="shared" si="9"/>
        <v>-62</v>
      </c>
      <c r="F177" s="144">
        <f t="shared" si="10"/>
        <v>-0.54867256637168138</v>
      </c>
    </row>
    <row r="178" spans="2:6" ht="15" customHeight="1" x14ac:dyDescent="0.2">
      <c r="B178" s="85" t="s">
        <v>161</v>
      </c>
      <c r="C178" s="38">
        <v>40</v>
      </c>
      <c r="D178" s="38">
        <v>13</v>
      </c>
      <c r="E178" s="38">
        <f t="shared" si="9"/>
        <v>-27</v>
      </c>
      <c r="F178" s="144">
        <f t="shared" si="10"/>
        <v>-0.67500000000000004</v>
      </c>
    </row>
    <row r="179" spans="2:6" ht="15" customHeight="1" x14ac:dyDescent="0.2">
      <c r="B179" s="85" t="s">
        <v>84</v>
      </c>
      <c r="C179" s="38">
        <v>8</v>
      </c>
      <c r="D179" s="38">
        <v>4</v>
      </c>
      <c r="E179" s="38">
        <f t="shared" si="9"/>
        <v>-4</v>
      </c>
      <c r="F179" s="144">
        <f t="shared" si="10"/>
        <v>-0.5</v>
      </c>
    </row>
    <row r="180" spans="2:6" ht="15" customHeight="1" x14ac:dyDescent="0.2">
      <c r="B180" s="85" t="s">
        <v>85</v>
      </c>
      <c r="C180" s="38">
        <v>72</v>
      </c>
      <c r="D180" s="38">
        <v>64</v>
      </c>
      <c r="E180" s="38">
        <f t="shared" si="9"/>
        <v>-8</v>
      </c>
      <c r="F180" s="144">
        <f t="shared" si="10"/>
        <v>-0.11111111111111116</v>
      </c>
    </row>
    <row r="181" spans="2:6" ht="15" customHeight="1" x14ac:dyDescent="0.2">
      <c r="B181" s="85" t="s">
        <v>97</v>
      </c>
      <c r="C181" s="38">
        <v>194</v>
      </c>
      <c r="D181" s="38">
        <v>100</v>
      </c>
      <c r="E181" s="38">
        <f t="shared" si="9"/>
        <v>-94</v>
      </c>
      <c r="F181" s="144">
        <f t="shared" si="10"/>
        <v>-0.48453608247422686</v>
      </c>
    </row>
    <row r="182" spans="2:6" ht="15" customHeight="1" x14ac:dyDescent="0.2">
      <c r="B182" s="85" t="s">
        <v>188</v>
      </c>
      <c r="C182" s="38">
        <v>112</v>
      </c>
      <c r="D182" s="38">
        <v>76</v>
      </c>
      <c r="E182" s="38">
        <f t="shared" si="9"/>
        <v>-36</v>
      </c>
      <c r="F182" s="144">
        <f t="shared" si="10"/>
        <v>-0.3214285714285714</v>
      </c>
    </row>
    <row r="183" spans="2:6" ht="15" customHeight="1" x14ac:dyDescent="0.2">
      <c r="B183" s="85" t="s">
        <v>105</v>
      </c>
      <c r="C183" s="38">
        <v>8</v>
      </c>
      <c r="D183" s="38">
        <v>8</v>
      </c>
      <c r="E183" s="38">
        <f t="shared" si="9"/>
        <v>0</v>
      </c>
      <c r="F183" s="144">
        <f t="shared" si="10"/>
        <v>0</v>
      </c>
    </row>
    <row r="184" spans="2:6" ht="15" customHeight="1" x14ac:dyDescent="0.2">
      <c r="B184" s="85" t="s">
        <v>106</v>
      </c>
      <c r="C184" s="38">
        <v>35</v>
      </c>
      <c r="D184" s="38">
        <v>19</v>
      </c>
      <c r="E184" s="38">
        <f t="shared" si="9"/>
        <v>-16</v>
      </c>
      <c r="F184" s="144">
        <f t="shared" si="10"/>
        <v>-0.45714285714285718</v>
      </c>
    </row>
    <row r="185" spans="2:6" s="20" customFormat="1" ht="15" customHeight="1" x14ac:dyDescent="0.2">
      <c r="B185" s="85" t="s">
        <v>232</v>
      </c>
      <c r="C185" s="38">
        <v>0</v>
      </c>
      <c r="D185" s="38">
        <v>0</v>
      </c>
      <c r="E185" s="38">
        <f t="shared" si="9"/>
        <v>0</v>
      </c>
      <c r="F185" s="144"/>
    </row>
    <row r="186" spans="2:6" ht="15" customHeight="1" x14ac:dyDescent="0.2">
      <c r="B186" s="85" t="s">
        <v>182</v>
      </c>
      <c r="C186" s="38">
        <v>2</v>
      </c>
      <c r="D186" s="38">
        <v>2</v>
      </c>
      <c r="E186" s="38">
        <f t="shared" si="9"/>
        <v>0</v>
      </c>
      <c r="F186" s="144">
        <f t="shared" si="10"/>
        <v>0</v>
      </c>
    </row>
    <row r="187" spans="2:6" ht="12.75" customHeight="1" x14ac:dyDescent="0.2">
      <c r="B187" s="85" t="s">
        <v>112</v>
      </c>
      <c r="C187" s="38">
        <v>1</v>
      </c>
      <c r="D187" s="38">
        <v>9</v>
      </c>
      <c r="E187" s="38">
        <f t="shared" si="9"/>
        <v>8</v>
      </c>
      <c r="F187" s="144">
        <f t="shared" si="10"/>
        <v>8</v>
      </c>
    </row>
    <row r="188" spans="2:6" ht="12" x14ac:dyDescent="0.2">
      <c r="B188" s="85" t="s">
        <v>174</v>
      </c>
      <c r="C188" s="38">
        <v>0</v>
      </c>
      <c r="D188" s="38">
        <v>0</v>
      </c>
      <c r="E188" s="38">
        <f t="shared" si="9"/>
        <v>0</v>
      </c>
      <c r="F188" s="144"/>
    </row>
    <row r="189" spans="2:6" ht="15" customHeight="1" x14ac:dyDescent="0.2">
      <c r="B189" s="85" t="s">
        <v>123</v>
      </c>
      <c r="C189" s="38">
        <v>5</v>
      </c>
      <c r="D189" s="38">
        <v>3</v>
      </c>
      <c r="E189" s="38">
        <f t="shared" si="9"/>
        <v>-2</v>
      </c>
      <c r="F189" s="144">
        <f t="shared" si="10"/>
        <v>-0.4</v>
      </c>
    </row>
    <row r="190" spans="2:6" ht="15" customHeight="1" x14ac:dyDescent="0.2">
      <c r="B190" s="85" t="s">
        <v>128</v>
      </c>
      <c r="C190" s="38">
        <v>15</v>
      </c>
      <c r="D190" s="38">
        <v>8</v>
      </c>
      <c r="E190" s="38">
        <f t="shared" si="9"/>
        <v>-7</v>
      </c>
      <c r="F190" s="144">
        <f t="shared" si="10"/>
        <v>-0.46666666666666667</v>
      </c>
    </row>
    <row r="191" spans="2:6" ht="15" customHeight="1" x14ac:dyDescent="0.2">
      <c r="B191" s="85" t="s">
        <v>135</v>
      </c>
      <c r="C191" s="38">
        <v>55</v>
      </c>
      <c r="D191" s="38">
        <v>20</v>
      </c>
      <c r="E191" s="38">
        <f t="shared" si="9"/>
        <v>-35</v>
      </c>
      <c r="F191" s="144">
        <f t="shared" si="10"/>
        <v>-0.63636363636363635</v>
      </c>
    </row>
    <row r="192" spans="2:6" ht="12" x14ac:dyDescent="0.2">
      <c r="B192" s="85" t="s">
        <v>177</v>
      </c>
      <c r="C192" s="38">
        <v>25</v>
      </c>
      <c r="D192" s="38">
        <v>14</v>
      </c>
      <c r="E192" s="38">
        <f t="shared" si="9"/>
        <v>-11</v>
      </c>
      <c r="F192" s="144">
        <f t="shared" si="10"/>
        <v>-0.43999999999999995</v>
      </c>
    </row>
    <row r="193" spans="1:6" ht="15" customHeight="1" x14ac:dyDescent="0.2">
      <c r="B193" s="85" t="s">
        <v>144</v>
      </c>
      <c r="C193" s="38">
        <v>49</v>
      </c>
      <c r="D193" s="38">
        <v>26</v>
      </c>
      <c r="E193" s="38">
        <f t="shared" si="9"/>
        <v>-23</v>
      </c>
      <c r="F193" s="144">
        <f t="shared" si="10"/>
        <v>-0.46938775510204078</v>
      </c>
    </row>
    <row r="194" spans="1:6" ht="15" customHeight="1" x14ac:dyDescent="0.2">
      <c r="B194" s="85" t="s">
        <v>180</v>
      </c>
      <c r="C194" s="38">
        <v>2</v>
      </c>
      <c r="D194" s="38">
        <v>4</v>
      </c>
      <c r="E194" s="38">
        <f t="shared" si="9"/>
        <v>2</v>
      </c>
      <c r="F194" s="144">
        <f t="shared" si="10"/>
        <v>1</v>
      </c>
    </row>
    <row r="195" spans="1:6" ht="15" customHeight="1" x14ac:dyDescent="0.2">
      <c r="A195" s="11"/>
      <c r="B195" s="80" t="s">
        <v>206</v>
      </c>
      <c r="C195" s="56">
        <v>351</v>
      </c>
      <c r="D195" s="52">
        <v>334</v>
      </c>
      <c r="E195" s="56">
        <f t="shared" si="9"/>
        <v>-17</v>
      </c>
      <c r="F195" s="147">
        <f t="shared" si="10"/>
        <v>-4.8433048433048409E-2</v>
      </c>
    </row>
    <row r="196" spans="1:6" ht="15" customHeight="1" x14ac:dyDescent="0.2">
      <c r="A196" s="11"/>
      <c r="B196" s="82" t="s">
        <v>166</v>
      </c>
      <c r="C196" s="38">
        <v>2</v>
      </c>
      <c r="D196" s="38">
        <v>2</v>
      </c>
      <c r="E196" s="38">
        <f t="shared" si="9"/>
        <v>0</v>
      </c>
      <c r="F196" s="144">
        <f t="shared" si="10"/>
        <v>0</v>
      </c>
    </row>
    <row r="197" spans="1:6" ht="15" customHeight="1" x14ac:dyDescent="0.2">
      <c r="A197" s="11"/>
      <c r="B197" s="84" t="s">
        <v>183</v>
      </c>
      <c r="C197" s="38">
        <v>4</v>
      </c>
      <c r="D197" s="38">
        <v>2</v>
      </c>
      <c r="E197" s="38">
        <f t="shared" si="9"/>
        <v>-2</v>
      </c>
      <c r="F197" s="144">
        <f t="shared" si="10"/>
        <v>-0.5</v>
      </c>
    </row>
    <row r="198" spans="1:6" ht="15" customHeight="1" x14ac:dyDescent="0.2">
      <c r="A198" s="11"/>
      <c r="B198" s="85" t="s">
        <v>170</v>
      </c>
      <c r="C198" s="38">
        <v>2</v>
      </c>
      <c r="D198" s="38">
        <v>3</v>
      </c>
      <c r="E198" s="38">
        <f t="shared" ref="E198:E234" si="11">D198-C198</f>
        <v>1</v>
      </c>
      <c r="F198" s="144">
        <f t="shared" ref="F198:F234" si="12">D198/C198-1</f>
        <v>0.5</v>
      </c>
    </row>
    <row r="199" spans="1:6" ht="15" customHeight="1" x14ac:dyDescent="0.2">
      <c r="A199" s="11"/>
      <c r="B199" s="85" t="s">
        <v>72</v>
      </c>
      <c r="C199" s="38">
        <v>71</v>
      </c>
      <c r="D199" s="38">
        <v>35</v>
      </c>
      <c r="E199" s="38">
        <f t="shared" si="11"/>
        <v>-36</v>
      </c>
      <c r="F199" s="144">
        <f t="shared" si="12"/>
        <v>-0.50704225352112675</v>
      </c>
    </row>
    <row r="200" spans="1:6" ht="15" customHeight="1" x14ac:dyDescent="0.2">
      <c r="A200" s="11"/>
      <c r="B200" s="85" t="s">
        <v>73</v>
      </c>
      <c r="C200" s="38">
        <v>2</v>
      </c>
      <c r="D200" s="38">
        <v>0</v>
      </c>
      <c r="E200" s="38">
        <f t="shared" si="11"/>
        <v>-2</v>
      </c>
      <c r="F200" s="144">
        <f t="shared" si="12"/>
        <v>-1</v>
      </c>
    </row>
    <row r="201" spans="1:6" ht="15" customHeight="1" x14ac:dyDescent="0.2">
      <c r="A201" s="11"/>
      <c r="B201" s="85" t="s">
        <v>156</v>
      </c>
      <c r="C201" s="38">
        <v>1</v>
      </c>
      <c r="D201" s="38">
        <v>2</v>
      </c>
      <c r="E201" s="38">
        <f t="shared" si="11"/>
        <v>1</v>
      </c>
      <c r="F201" s="144">
        <f t="shared" si="12"/>
        <v>1</v>
      </c>
    </row>
    <row r="202" spans="1:6" ht="15" customHeight="1" x14ac:dyDescent="0.2">
      <c r="A202" s="11"/>
      <c r="B202" s="85" t="s">
        <v>93</v>
      </c>
      <c r="C202" s="38">
        <v>0</v>
      </c>
      <c r="D202" s="38">
        <v>0</v>
      </c>
      <c r="E202" s="38">
        <f t="shared" si="11"/>
        <v>0</v>
      </c>
      <c r="F202" s="144"/>
    </row>
    <row r="203" spans="1:6" ht="15" customHeight="1" x14ac:dyDescent="0.2">
      <c r="A203" s="11"/>
      <c r="B203" s="85" t="s">
        <v>101</v>
      </c>
      <c r="C203" s="38">
        <v>6</v>
      </c>
      <c r="D203" s="38">
        <v>8</v>
      </c>
      <c r="E203" s="38">
        <f t="shared" si="11"/>
        <v>2</v>
      </c>
      <c r="F203" s="144">
        <f t="shared" si="12"/>
        <v>0.33333333333333326</v>
      </c>
    </row>
    <row r="204" spans="1:6" ht="15" customHeight="1" x14ac:dyDescent="0.2">
      <c r="A204" s="11"/>
      <c r="B204" s="81" t="s">
        <v>104</v>
      </c>
      <c r="C204" s="38">
        <v>5</v>
      </c>
      <c r="D204" s="38">
        <v>0</v>
      </c>
      <c r="E204" s="38">
        <f t="shared" si="11"/>
        <v>-5</v>
      </c>
      <c r="F204" s="144">
        <f t="shared" si="12"/>
        <v>-1</v>
      </c>
    </row>
    <row r="205" spans="1:6" ht="15" customHeight="1" x14ac:dyDescent="0.2">
      <c r="A205" s="11"/>
      <c r="B205" s="85" t="s">
        <v>172</v>
      </c>
      <c r="C205" s="38">
        <v>7</v>
      </c>
      <c r="D205" s="38">
        <v>12</v>
      </c>
      <c r="E205" s="38">
        <f t="shared" si="11"/>
        <v>5</v>
      </c>
      <c r="F205" s="144">
        <f t="shared" si="12"/>
        <v>0.71428571428571419</v>
      </c>
    </row>
    <row r="206" spans="1:6" ht="15" customHeight="1" x14ac:dyDescent="0.2">
      <c r="A206" s="11"/>
      <c r="B206" s="85" t="s">
        <v>158</v>
      </c>
      <c r="C206" s="38">
        <v>7</v>
      </c>
      <c r="D206" s="38">
        <v>15</v>
      </c>
      <c r="E206" s="38">
        <f t="shared" si="11"/>
        <v>8</v>
      </c>
      <c r="F206" s="144">
        <f t="shared" si="12"/>
        <v>1.1428571428571428</v>
      </c>
    </row>
    <row r="207" spans="1:6" ht="15" customHeight="1" x14ac:dyDescent="0.2">
      <c r="A207" s="11"/>
      <c r="B207" s="85" t="s">
        <v>163</v>
      </c>
      <c r="C207" s="38">
        <v>8</v>
      </c>
      <c r="D207" s="38">
        <v>1</v>
      </c>
      <c r="E207" s="38">
        <f t="shared" si="11"/>
        <v>-7</v>
      </c>
      <c r="F207" s="144">
        <f t="shared" si="12"/>
        <v>-0.875</v>
      </c>
    </row>
    <row r="208" spans="1:6" ht="15" customHeight="1" x14ac:dyDescent="0.2">
      <c r="A208" s="11"/>
      <c r="B208" s="85" t="s">
        <v>115</v>
      </c>
      <c r="C208" s="38">
        <v>226</v>
      </c>
      <c r="D208" s="38">
        <v>240</v>
      </c>
      <c r="E208" s="38">
        <f t="shared" si="11"/>
        <v>14</v>
      </c>
      <c r="F208" s="144">
        <f t="shared" si="12"/>
        <v>6.1946902654867353E-2</v>
      </c>
    </row>
    <row r="209" spans="1:6" ht="15" customHeight="1" x14ac:dyDescent="0.2">
      <c r="A209" s="11"/>
      <c r="B209" s="85" t="s">
        <v>129</v>
      </c>
      <c r="C209" s="38">
        <v>5</v>
      </c>
      <c r="D209" s="38">
        <v>6</v>
      </c>
      <c r="E209" s="38">
        <f t="shared" si="11"/>
        <v>1</v>
      </c>
      <c r="F209" s="144">
        <f t="shared" si="12"/>
        <v>0.19999999999999996</v>
      </c>
    </row>
    <row r="210" spans="1:6" ht="15" customHeight="1" x14ac:dyDescent="0.2">
      <c r="A210" s="11"/>
      <c r="B210" s="85" t="s">
        <v>132</v>
      </c>
      <c r="C210" s="38">
        <v>3</v>
      </c>
      <c r="D210" s="38">
        <v>4</v>
      </c>
      <c r="E210" s="38">
        <f t="shared" si="11"/>
        <v>1</v>
      </c>
      <c r="F210" s="144">
        <f t="shared" si="12"/>
        <v>0.33333333333333326</v>
      </c>
    </row>
    <row r="211" spans="1:6" ht="15" customHeight="1" x14ac:dyDescent="0.2">
      <c r="B211" s="85" t="s">
        <v>192</v>
      </c>
      <c r="C211" s="38">
        <v>2</v>
      </c>
      <c r="D211" s="38">
        <v>4</v>
      </c>
      <c r="E211" s="38">
        <f t="shared" si="11"/>
        <v>2</v>
      </c>
      <c r="F211" s="144">
        <f t="shared" si="12"/>
        <v>1</v>
      </c>
    </row>
    <row r="212" spans="1:6" ht="13.5" customHeight="1" x14ac:dyDescent="0.2">
      <c r="B212" s="80" t="s">
        <v>125</v>
      </c>
      <c r="C212" s="56">
        <v>1099</v>
      </c>
      <c r="D212" s="52">
        <v>1202</v>
      </c>
      <c r="E212" s="56">
        <f t="shared" si="11"/>
        <v>103</v>
      </c>
      <c r="F212" s="147">
        <f t="shared" si="12"/>
        <v>9.3721565059144751E-2</v>
      </c>
    </row>
    <row r="213" spans="1:6" ht="15" customHeight="1" x14ac:dyDescent="0.2">
      <c r="A213" s="11"/>
      <c r="B213" s="85" t="s">
        <v>167</v>
      </c>
      <c r="C213" s="38">
        <v>7</v>
      </c>
      <c r="D213" s="38">
        <v>22</v>
      </c>
      <c r="E213" s="38">
        <f t="shared" si="11"/>
        <v>15</v>
      </c>
      <c r="F213" s="144">
        <f t="shared" si="12"/>
        <v>2.1428571428571428</v>
      </c>
    </row>
    <row r="214" spans="1:6" ht="15" customHeight="1" x14ac:dyDescent="0.2">
      <c r="A214" s="11"/>
      <c r="B214" s="84" t="s">
        <v>194</v>
      </c>
      <c r="C214" s="38">
        <v>0</v>
      </c>
      <c r="D214" s="38">
        <v>0</v>
      </c>
      <c r="E214" s="38">
        <f t="shared" si="11"/>
        <v>0</v>
      </c>
      <c r="F214" s="144"/>
    </row>
    <row r="215" spans="1:6" ht="15" customHeight="1" x14ac:dyDescent="0.2">
      <c r="A215" s="11"/>
      <c r="B215" s="85" t="s">
        <v>159</v>
      </c>
      <c r="C215" s="38">
        <v>8</v>
      </c>
      <c r="D215" s="38">
        <v>1</v>
      </c>
      <c r="E215" s="38">
        <f t="shared" si="11"/>
        <v>-7</v>
      </c>
      <c r="F215" s="144">
        <f t="shared" si="12"/>
        <v>-0.875</v>
      </c>
    </row>
    <row r="216" spans="1:6" ht="15" customHeight="1" x14ac:dyDescent="0.2">
      <c r="B216" s="85" t="s">
        <v>125</v>
      </c>
      <c r="C216" s="38">
        <v>1084</v>
      </c>
      <c r="D216" s="38">
        <v>1178</v>
      </c>
      <c r="E216" s="38">
        <f t="shared" si="11"/>
        <v>94</v>
      </c>
      <c r="F216" s="144">
        <f t="shared" si="12"/>
        <v>8.6715867158671633E-2</v>
      </c>
    </row>
    <row r="217" spans="1:6" ht="12" x14ac:dyDescent="0.2">
      <c r="B217" s="84" t="s">
        <v>184</v>
      </c>
      <c r="C217" s="38">
        <v>0</v>
      </c>
      <c r="D217" s="38">
        <v>1</v>
      </c>
      <c r="E217" s="38">
        <f t="shared" si="11"/>
        <v>1</v>
      </c>
      <c r="F217" s="144"/>
    </row>
    <row r="218" spans="1:6" ht="15" customHeight="1" x14ac:dyDescent="0.2">
      <c r="B218" s="80" t="s">
        <v>207</v>
      </c>
      <c r="C218" s="56">
        <v>2151</v>
      </c>
      <c r="D218" s="52">
        <v>1621</v>
      </c>
      <c r="E218" s="56">
        <f t="shared" si="11"/>
        <v>-530</v>
      </c>
      <c r="F218" s="147"/>
    </row>
    <row r="219" spans="1:6" ht="15" customHeight="1" x14ac:dyDescent="0.2">
      <c r="B219" s="81" t="s">
        <v>62</v>
      </c>
      <c r="C219" s="38">
        <v>304</v>
      </c>
      <c r="D219" s="38">
        <v>305</v>
      </c>
      <c r="E219" s="38">
        <f t="shared" si="11"/>
        <v>1</v>
      </c>
      <c r="F219" s="144">
        <f t="shared" si="12"/>
        <v>3.2894736842106198E-3</v>
      </c>
    </row>
    <row r="220" spans="1:6" ht="15" customHeight="1" x14ac:dyDescent="0.2">
      <c r="B220" s="81" t="s">
        <v>108</v>
      </c>
      <c r="C220" s="38">
        <v>475</v>
      </c>
      <c r="D220" s="38">
        <v>289</v>
      </c>
      <c r="E220" s="38">
        <f t="shared" si="11"/>
        <v>-186</v>
      </c>
      <c r="F220" s="144">
        <f t="shared" si="12"/>
        <v>-0.39157894736842103</v>
      </c>
    </row>
    <row r="221" spans="1:6" ht="15" customHeight="1" x14ac:dyDescent="0.2">
      <c r="B221" s="81" t="s">
        <v>136</v>
      </c>
      <c r="C221" s="38">
        <v>986</v>
      </c>
      <c r="D221" s="38">
        <v>644</v>
      </c>
      <c r="E221" s="38">
        <f t="shared" si="11"/>
        <v>-342</v>
      </c>
      <c r="F221" s="144">
        <f t="shared" si="12"/>
        <v>-0.34685598377281945</v>
      </c>
    </row>
    <row r="222" spans="1:6" ht="12" x14ac:dyDescent="0.2">
      <c r="B222" s="81" t="s">
        <v>143</v>
      </c>
      <c r="C222" s="38">
        <v>386</v>
      </c>
      <c r="D222" s="38">
        <v>383</v>
      </c>
      <c r="E222" s="38">
        <f t="shared" si="11"/>
        <v>-3</v>
      </c>
      <c r="F222" s="144">
        <f t="shared" si="12"/>
        <v>-7.7720207253886286E-3</v>
      </c>
    </row>
    <row r="223" spans="1:6" x14ac:dyDescent="0.2">
      <c r="B223" s="80" t="s">
        <v>208</v>
      </c>
      <c r="C223" s="56">
        <v>90</v>
      </c>
      <c r="D223" s="52">
        <v>43</v>
      </c>
      <c r="E223" s="56">
        <f t="shared" si="11"/>
        <v>-47</v>
      </c>
      <c r="F223" s="147">
        <f t="shared" si="12"/>
        <v>-0.52222222222222214</v>
      </c>
    </row>
    <row r="224" spans="1:6" ht="12" x14ac:dyDescent="0.2">
      <c r="B224" s="85" t="s">
        <v>153</v>
      </c>
      <c r="C224" s="38">
        <v>15</v>
      </c>
      <c r="D224" s="38">
        <v>6</v>
      </c>
      <c r="E224" s="38">
        <f t="shared" si="11"/>
        <v>-9</v>
      </c>
      <c r="F224" s="144">
        <f t="shared" si="12"/>
        <v>-0.6</v>
      </c>
    </row>
    <row r="225" spans="1:6" ht="13.5" customHeight="1" x14ac:dyDescent="0.2">
      <c r="B225" s="85" t="s">
        <v>169</v>
      </c>
      <c r="C225" s="38">
        <v>2</v>
      </c>
      <c r="D225" s="38">
        <v>0</v>
      </c>
      <c r="E225" s="38">
        <f t="shared" si="11"/>
        <v>-2</v>
      </c>
      <c r="F225" s="144">
        <f t="shared" si="12"/>
        <v>-1</v>
      </c>
    </row>
    <row r="226" spans="1:6" ht="15.75" customHeight="1" x14ac:dyDescent="0.2">
      <c r="B226" s="85" t="s">
        <v>94</v>
      </c>
      <c r="C226" s="38">
        <v>46</v>
      </c>
      <c r="D226" s="38">
        <v>29</v>
      </c>
      <c r="E226" s="38">
        <f t="shared" si="11"/>
        <v>-17</v>
      </c>
      <c r="F226" s="144">
        <f t="shared" si="12"/>
        <v>-0.36956521739130432</v>
      </c>
    </row>
    <row r="227" spans="1:6" ht="15" customHeight="1" x14ac:dyDescent="0.2">
      <c r="B227" s="85" t="s">
        <v>98</v>
      </c>
      <c r="C227" s="38">
        <v>10</v>
      </c>
      <c r="D227" s="38">
        <v>4</v>
      </c>
      <c r="E227" s="38">
        <f t="shared" si="11"/>
        <v>-6</v>
      </c>
      <c r="F227" s="144">
        <f t="shared" si="12"/>
        <v>-0.6</v>
      </c>
    </row>
    <row r="228" spans="1:6" ht="15.75" customHeight="1" x14ac:dyDescent="0.2">
      <c r="B228" s="85" t="s">
        <v>191</v>
      </c>
      <c r="C228" s="38">
        <v>0</v>
      </c>
      <c r="D228" s="38">
        <v>0</v>
      </c>
      <c r="E228" s="38">
        <f t="shared" si="11"/>
        <v>0</v>
      </c>
      <c r="F228" s="144"/>
    </row>
    <row r="229" spans="1:6" s="20" customFormat="1" ht="15.75" customHeight="1" x14ac:dyDescent="0.2">
      <c r="B229" s="85" t="s">
        <v>193</v>
      </c>
      <c r="C229" s="38">
        <v>16</v>
      </c>
      <c r="D229" s="38">
        <v>4</v>
      </c>
      <c r="E229" s="38">
        <f t="shared" si="11"/>
        <v>-12</v>
      </c>
      <c r="F229" s="144">
        <f t="shared" si="12"/>
        <v>-0.75</v>
      </c>
    </row>
    <row r="230" spans="1:6" s="9" customFormat="1" ht="12" x14ac:dyDescent="0.2">
      <c r="B230" s="81" t="s">
        <v>231</v>
      </c>
      <c r="C230" s="38">
        <v>1</v>
      </c>
      <c r="D230" s="38">
        <v>0</v>
      </c>
      <c r="E230" s="38">
        <f t="shared" si="11"/>
        <v>-1</v>
      </c>
      <c r="F230" s="144">
        <f t="shared" si="12"/>
        <v>-1</v>
      </c>
    </row>
    <row r="231" spans="1:6" x14ac:dyDescent="0.2">
      <c r="B231" s="86" t="s">
        <v>137</v>
      </c>
      <c r="C231" s="53">
        <v>106491</v>
      </c>
      <c r="D231" s="53">
        <v>109066</v>
      </c>
      <c r="E231" s="53">
        <f t="shared" si="11"/>
        <v>2575</v>
      </c>
      <c r="F231" s="146">
        <f t="shared" si="12"/>
        <v>2.4180447173939523E-2</v>
      </c>
    </row>
    <row r="232" spans="1:6" ht="12" x14ac:dyDescent="0.2">
      <c r="B232" s="81" t="s">
        <v>254</v>
      </c>
      <c r="C232" s="38">
        <v>79</v>
      </c>
      <c r="D232" s="38">
        <v>65</v>
      </c>
      <c r="E232" s="38">
        <f t="shared" si="11"/>
        <v>-14</v>
      </c>
      <c r="F232" s="144">
        <f t="shared" si="12"/>
        <v>-0.17721518987341767</v>
      </c>
    </row>
    <row r="233" spans="1:6" s="20" customFormat="1" ht="12" x14ac:dyDescent="0.2">
      <c r="B233" s="85" t="s">
        <v>285</v>
      </c>
      <c r="C233" s="38">
        <v>104775</v>
      </c>
      <c r="D233" s="38">
        <v>107685</v>
      </c>
      <c r="E233" s="38">
        <f t="shared" si="11"/>
        <v>2910</v>
      </c>
      <c r="F233" s="144">
        <f t="shared" si="12"/>
        <v>2.7773801002147547E-2</v>
      </c>
    </row>
    <row r="234" spans="1:6" ht="15" customHeight="1" thickBot="1" x14ac:dyDescent="0.25">
      <c r="B234" s="90" t="s">
        <v>137</v>
      </c>
      <c r="C234" s="91">
        <v>1637</v>
      </c>
      <c r="D234" s="91">
        <v>1316</v>
      </c>
      <c r="E234" s="91">
        <f t="shared" si="11"/>
        <v>-321</v>
      </c>
      <c r="F234" s="149">
        <f t="shared" si="12"/>
        <v>-0.19609040928527799</v>
      </c>
    </row>
    <row r="236" spans="1:6" s="20" customFormat="1" ht="15" customHeight="1" x14ac:dyDescent="0.2">
      <c r="C236" s="93"/>
      <c r="D236" s="93"/>
      <c r="F236" s="66"/>
    </row>
    <row r="238" spans="1:6" s="20" customFormat="1" ht="15" customHeight="1" x14ac:dyDescent="0.2">
      <c r="B238" s="152" t="s">
        <v>209</v>
      </c>
      <c r="C238" s="153"/>
      <c r="D238" s="153"/>
      <c r="E238" s="153"/>
      <c r="F238" s="66"/>
    </row>
    <row r="239" spans="1:6" ht="19.5" customHeight="1" x14ac:dyDescent="0.2">
      <c r="A239" s="20"/>
      <c r="B239" s="20"/>
      <c r="C239" s="93"/>
      <c r="D239" s="93"/>
    </row>
    <row r="240" spans="1:6" ht="15" customHeight="1" x14ac:dyDescent="0.2">
      <c r="A240" s="20"/>
      <c r="B240" s="20"/>
      <c r="C240" s="20"/>
      <c r="D240" s="20"/>
    </row>
    <row r="241" spans="3:4" ht="15" customHeight="1" x14ac:dyDescent="0.2">
      <c r="C241" s="93"/>
      <c r="D241" s="93"/>
    </row>
  </sheetData>
  <mergeCells count="1">
    <mergeCell ref="B238:E238"/>
  </mergeCells>
  <pageMargins left="0.75" right="0.75" top="1" bottom="1" header="0.5" footer="0.5"/>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zoomScaleNormal="100" workbookViewId="0">
      <selection activeCell="B2" sqref="B2:G2"/>
    </sheetView>
  </sheetViews>
  <sheetFormatPr defaultRowHeight="15" customHeight="1" x14ac:dyDescent="0.2"/>
  <cols>
    <col min="1" max="1" width="4.42578125" style="6" customWidth="1"/>
    <col min="2" max="2" width="6.7109375" style="6" customWidth="1"/>
    <col min="3" max="3" width="31" style="6" customWidth="1"/>
    <col min="4" max="4" width="17" style="6" customWidth="1"/>
    <col min="5" max="5" width="15.28515625" style="6" customWidth="1"/>
    <col min="6" max="6" width="13.7109375" style="6" customWidth="1"/>
    <col min="7" max="7" width="14.85546875" style="6" customWidth="1"/>
    <col min="8" max="16384" width="9.140625" style="6"/>
  </cols>
  <sheetData>
    <row r="1" spans="1:7" ht="15" customHeight="1" thickBot="1" x14ac:dyDescent="0.25"/>
    <row r="2" spans="1:7" ht="21.75" customHeight="1" thickBot="1" x14ac:dyDescent="0.25">
      <c r="B2" s="155" t="s">
        <v>249</v>
      </c>
      <c r="C2" s="156"/>
      <c r="D2" s="156"/>
      <c r="E2" s="156"/>
      <c r="F2" s="156"/>
      <c r="G2" s="156"/>
    </row>
    <row r="3" spans="1:7" ht="15" customHeight="1" thickBot="1" x14ac:dyDescent="0.25">
      <c r="B3" s="7"/>
      <c r="C3" s="7"/>
      <c r="D3" s="7"/>
      <c r="E3" s="7"/>
      <c r="F3" s="7"/>
    </row>
    <row r="4" spans="1:7" ht="38.25" customHeight="1" thickBot="1" x14ac:dyDescent="0.25">
      <c r="A4" s="7"/>
      <c r="B4" s="41"/>
      <c r="C4" s="42" t="s">
        <v>0</v>
      </c>
      <c r="D4" s="43" t="s">
        <v>288</v>
      </c>
      <c r="E4" s="43" t="s">
        <v>289</v>
      </c>
      <c r="F4" s="43" t="s">
        <v>290</v>
      </c>
      <c r="G4" s="92" t="s">
        <v>291</v>
      </c>
    </row>
    <row r="5" spans="1:7" ht="15" customHeight="1" x14ac:dyDescent="0.2">
      <c r="A5"/>
      <c r="B5" s="37">
        <v>1</v>
      </c>
      <c r="C5" s="67" t="s">
        <v>54</v>
      </c>
      <c r="D5" s="17">
        <v>225265</v>
      </c>
      <c r="E5" s="70">
        <v>238368</v>
      </c>
      <c r="F5" s="17">
        <f t="shared" ref="F5" si="0">E5-D5</f>
        <v>13103</v>
      </c>
      <c r="G5" s="71">
        <f t="shared" ref="G5" si="1">E5/D5-1</f>
        <v>5.8167047699376306E-2</v>
      </c>
    </row>
    <row r="6" spans="1:7" s="108" customFormat="1" ht="15" customHeight="1" x14ac:dyDescent="0.2">
      <c r="A6" s="107"/>
      <c r="B6" s="112">
        <v>2</v>
      </c>
      <c r="C6" s="67" t="s">
        <v>16</v>
      </c>
      <c r="D6" s="109">
        <v>219264</v>
      </c>
      <c r="E6" s="109">
        <v>230717</v>
      </c>
      <c r="F6" s="17">
        <f t="shared" ref="F6:F19" si="2">E6-D6</f>
        <v>11453</v>
      </c>
      <c r="G6" s="71">
        <f t="shared" ref="G6:G19" si="3">E6/D6-1</f>
        <v>5.2233836835960279E-2</v>
      </c>
    </row>
    <row r="7" spans="1:7" s="108" customFormat="1" ht="15" customHeight="1" x14ac:dyDescent="0.2">
      <c r="A7" s="107"/>
      <c r="B7" s="112">
        <v>3</v>
      </c>
      <c r="C7" s="67" t="s">
        <v>3</v>
      </c>
      <c r="D7" s="109">
        <v>180805</v>
      </c>
      <c r="E7" s="109">
        <v>160473</v>
      </c>
      <c r="F7" s="17">
        <f t="shared" si="2"/>
        <v>-20332</v>
      </c>
      <c r="G7" s="71">
        <f t="shared" si="3"/>
        <v>-0.11245264234949259</v>
      </c>
    </row>
    <row r="8" spans="1:7" s="108" customFormat="1" ht="12.75" x14ac:dyDescent="0.2">
      <c r="A8" s="107"/>
      <c r="B8" s="112">
        <v>4</v>
      </c>
      <c r="C8" s="67" t="s">
        <v>53</v>
      </c>
      <c r="D8" s="109">
        <v>80896</v>
      </c>
      <c r="E8" s="109">
        <v>66744</v>
      </c>
      <c r="F8" s="17">
        <f t="shared" si="2"/>
        <v>-14152</v>
      </c>
      <c r="G8" s="71">
        <f t="shared" si="3"/>
        <v>-0.174940664556962</v>
      </c>
    </row>
    <row r="9" spans="1:7" s="108" customFormat="1" ht="15" customHeight="1" x14ac:dyDescent="0.2">
      <c r="A9" s="107"/>
      <c r="B9" s="112">
        <v>5</v>
      </c>
      <c r="C9" s="67" t="s">
        <v>4</v>
      </c>
      <c r="D9" s="109">
        <v>64818</v>
      </c>
      <c r="E9" s="109">
        <v>59571</v>
      </c>
      <c r="F9" s="17">
        <f t="shared" si="2"/>
        <v>-5247</v>
      </c>
      <c r="G9" s="71">
        <f t="shared" si="3"/>
        <v>-8.0949736184393273E-2</v>
      </c>
    </row>
    <row r="10" spans="1:7" s="108" customFormat="1" ht="15" customHeight="1" x14ac:dyDescent="0.2">
      <c r="A10" s="107"/>
      <c r="B10" s="112">
        <v>6</v>
      </c>
      <c r="C10" s="67" t="s">
        <v>20</v>
      </c>
      <c r="D10" s="109">
        <v>24192</v>
      </c>
      <c r="E10" s="109">
        <v>30119</v>
      </c>
      <c r="F10" s="17">
        <f t="shared" si="2"/>
        <v>5927</v>
      </c>
      <c r="G10" s="71">
        <f t="shared" si="3"/>
        <v>0.24499834656084651</v>
      </c>
    </row>
    <row r="11" spans="1:7" s="108" customFormat="1" ht="12.75" x14ac:dyDescent="0.2">
      <c r="A11" s="107"/>
      <c r="B11" s="112">
        <v>7</v>
      </c>
      <c r="C11" s="67" t="s">
        <v>10</v>
      </c>
      <c r="D11" s="109">
        <v>21625</v>
      </c>
      <c r="E11" s="109">
        <v>21583</v>
      </c>
      <c r="F11" s="17">
        <f t="shared" si="2"/>
        <v>-42</v>
      </c>
      <c r="G11" s="71">
        <f t="shared" si="3"/>
        <v>-1.942196531791951E-3</v>
      </c>
    </row>
    <row r="12" spans="1:7" s="108" customFormat="1" ht="15" customHeight="1" x14ac:dyDescent="0.2">
      <c r="A12" s="107"/>
      <c r="B12" s="112">
        <v>8</v>
      </c>
      <c r="C12" s="67" t="s">
        <v>150</v>
      </c>
      <c r="D12" s="109">
        <v>13875</v>
      </c>
      <c r="E12" s="109">
        <v>20612</v>
      </c>
      <c r="F12" s="17">
        <f t="shared" si="2"/>
        <v>6737</v>
      </c>
      <c r="G12" s="71">
        <f t="shared" si="3"/>
        <v>0.48554954954954965</v>
      </c>
    </row>
    <row r="13" spans="1:7" ht="12.75" x14ac:dyDescent="0.2">
      <c r="A13"/>
      <c r="B13" s="14">
        <v>9</v>
      </c>
      <c r="C13" s="67" t="s">
        <v>89</v>
      </c>
      <c r="D13" s="17">
        <v>26372</v>
      </c>
      <c r="E13" s="17">
        <v>18587</v>
      </c>
      <c r="F13" s="17">
        <f t="shared" si="2"/>
        <v>-7785</v>
      </c>
      <c r="G13" s="71">
        <f t="shared" si="3"/>
        <v>-0.29519945396632796</v>
      </c>
    </row>
    <row r="14" spans="1:7" ht="15" customHeight="1" x14ac:dyDescent="0.2">
      <c r="A14"/>
      <c r="B14" s="14">
        <v>10</v>
      </c>
      <c r="C14" s="67" t="s">
        <v>5</v>
      </c>
      <c r="D14" s="17">
        <v>17377</v>
      </c>
      <c r="E14" s="17">
        <v>16904</v>
      </c>
      <c r="F14" s="17">
        <f t="shared" si="2"/>
        <v>-473</v>
      </c>
      <c r="G14" s="71">
        <f t="shared" si="3"/>
        <v>-2.7219888358174571E-2</v>
      </c>
    </row>
    <row r="15" spans="1:7" ht="12.75" x14ac:dyDescent="0.2">
      <c r="A15"/>
      <c r="B15" s="14">
        <v>11</v>
      </c>
      <c r="C15" s="67" t="s">
        <v>46</v>
      </c>
      <c r="D15" s="17">
        <v>10212</v>
      </c>
      <c r="E15" s="17">
        <v>14051</v>
      </c>
      <c r="F15" s="17">
        <f t="shared" si="2"/>
        <v>3839</v>
      </c>
      <c r="G15" s="71">
        <f t="shared" si="3"/>
        <v>0.37593027810419111</v>
      </c>
    </row>
    <row r="16" spans="1:7" ht="12.75" x14ac:dyDescent="0.2">
      <c r="A16"/>
      <c r="B16" s="14">
        <v>12</v>
      </c>
      <c r="C16" s="67" t="s">
        <v>92</v>
      </c>
      <c r="D16" s="17">
        <v>26859</v>
      </c>
      <c r="E16" s="17">
        <v>13757</v>
      </c>
      <c r="F16" s="17">
        <f t="shared" si="2"/>
        <v>-13102</v>
      </c>
      <c r="G16" s="71">
        <f t="shared" si="3"/>
        <v>-0.48780669421795297</v>
      </c>
    </row>
    <row r="17" spans="1:7" ht="15" customHeight="1" x14ac:dyDescent="0.2">
      <c r="A17"/>
      <c r="B17" s="14">
        <v>13</v>
      </c>
      <c r="C17" s="67" t="s">
        <v>14</v>
      </c>
      <c r="D17" s="17">
        <v>10165</v>
      </c>
      <c r="E17" s="17">
        <v>13651</v>
      </c>
      <c r="F17" s="17">
        <f t="shared" si="2"/>
        <v>3486</v>
      </c>
      <c r="G17" s="71">
        <f t="shared" si="3"/>
        <v>0.34294146581406793</v>
      </c>
    </row>
    <row r="18" spans="1:7" ht="15" customHeight="1" x14ac:dyDescent="0.2">
      <c r="A18"/>
      <c r="B18" s="14">
        <v>14</v>
      </c>
      <c r="C18" s="67" t="s">
        <v>29</v>
      </c>
      <c r="D18" s="17">
        <v>6506</v>
      </c>
      <c r="E18" s="17">
        <v>9479</v>
      </c>
      <c r="F18" s="17">
        <f t="shared" si="2"/>
        <v>2973</v>
      </c>
      <c r="G18" s="71">
        <f t="shared" si="3"/>
        <v>0.45696280356593921</v>
      </c>
    </row>
    <row r="19" spans="1:7" ht="15" customHeight="1" thickBot="1" x14ac:dyDescent="0.25">
      <c r="A19"/>
      <c r="B19" s="150">
        <v>15</v>
      </c>
      <c r="C19" s="68" t="s">
        <v>296</v>
      </c>
      <c r="D19" s="19">
        <v>7558</v>
      </c>
      <c r="E19" s="19">
        <v>9015</v>
      </c>
      <c r="F19" s="19">
        <f t="shared" si="2"/>
        <v>1457</v>
      </c>
      <c r="G19" s="72">
        <f t="shared" si="3"/>
        <v>0.19277586663138391</v>
      </c>
    </row>
    <row r="20" spans="1:7" ht="15" customHeight="1" x14ac:dyDescent="0.2">
      <c r="A20"/>
      <c r="B20" s="40"/>
    </row>
    <row r="21" spans="1:7" ht="15" customHeight="1" x14ac:dyDescent="0.2">
      <c r="A21"/>
      <c r="B21" s="40"/>
    </row>
    <row r="22" spans="1:7" ht="15" customHeight="1" x14ac:dyDescent="0.2">
      <c r="E22" s="115"/>
    </row>
    <row r="23" spans="1:7" ht="15" customHeight="1" x14ac:dyDescent="0.2">
      <c r="B23" s="8" t="s">
        <v>209</v>
      </c>
    </row>
    <row r="24" spans="1:7" ht="15" customHeight="1" x14ac:dyDescent="0.2">
      <c r="B24" s="154"/>
      <c r="C24" s="154"/>
      <c r="D24" s="154"/>
      <c r="E24" s="154"/>
      <c r="F24" s="95"/>
    </row>
  </sheetData>
  <sortState xmlns:xlrd2="http://schemas.microsoft.com/office/spreadsheetml/2017/richdata2" ref="B6:G19">
    <sortCondition descending="1" ref="E5:E19"/>
  </sortState>
  <mergeCells count="2">
    <mergeCell ref="B24:E24"/>
    <mergeCell ref="B2:G2"/>
  </mergeCells>
  <phoneticPr fontId="30" type="noConversion"/>
  <pageMargins left="0.75" right="0.75" top="1" bottom="1" header="0.5" footer="0.5"/>
  <pageSetup paperSize="9"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27"/>
  <sheetViews>
    <sheetView workbookViewId="0">
      <selection activeCell="B2" sqref="B2:G2"/>
    </sheetView>
  </sheetViews>
  <sheetFormatPr defaultRowHeight="12.75" x14ac:dyDescent="0.2"/>
  <cols>
    <col min="1" max="1" width="5.5703125" customWidth="1"/>
    <col min="2" max="2" width="38.7109375" customWidth="1"/>
    <col min="3" max="3" width="15.5703125" customWidth="1"/>
    <col min="4" max="5" width="14.85546875" style="107" customWidth="1"/>
    <col min="6" max="7" width="13.140625" customWidth="1"/>
  </cols>
  <sheetData>
    <row r="1" spans="2:7" ht="24" customHeight="1" thickBot="1" x14ac:dyDescent="0.25"/>
    <row r="2" spans="2:7" ht="23.25" customHeight="1" thickBot="1" x14ac:dyDescent="0.25">
      <c r="B2" s="155" t="s">
        <v>251</v>
      </c>
      <c r="C2" s="156"/>
      <c r="D2" s="156"/>
      <c r="E2" s="156"/>
      <c r="F2" s="156"/>
      <c r="G2" s="157"/>
    </row>
    <row r="3" spans="2:7" ht="13.5" thickBot="1" x14ac:dyDescent="0.25"/>
    <row r="4" spans="2:7" ht="36.75" customHeight="1" x14ac:dyDescent="0.2">
      <c r="B4" s="96" t="s">
        <v>292</v>
      </c>
      <c r="C4" s="43" t="s">
        <v>288</v>
      </c>
      <c r="D4" s="43" t="s">
        <v>289</v>
      </c>
      <c r="E4" s="43" t="s">
        <v>290</v>
      </c>
      <c r="F4" s="92" t="s">
        <v>291</v>
      </c>
      <c r="G4" s="98" t="s">
        <v>223</v>
      </c>
    </row>
    <row r="5" spans="2:7" ht="24" customHeight="1" x14ac:dyDescent="0.2">
      <c r="B5" s="99" t="s">
        <v>248</v>
      </c>
      <c r="C5" s="17">
        <v>1314828</v>
      </c>
      <c r="D5" s="17">
        <v>1300505</v>
      </c>
      <c r="E5" s="131">
        <f>D5-C5</f>
        <v>-14323</v>
      </c>
      <c r="F5" s="132">
        <f>D5/C5-1</f>
        <v>-1.0893440054516645E-2</v>
      </c>
      <c r="G5" s="133">
        <v>1</v>
      </c>
    </row>
    <row r="6" spans="2:7" ht="24" x14ac:dyDescent="0.2">
      <c r="B6" s="100" t="s">
        <v>249</v>
      </c>
      <c r="C6" s="17">
        <v>1172336</v>
      </c>
      <c r="D6" s="17">
        <v>1170362</v>
      </c>
      <c r="E6" s="131">
        <f t="shared" ref="E6:E9" si="0">D6-C6</f>
        <v>-1974</v>
      </c>
      <c r="F6" s="132">
        <f>D6/C6-1</f>
        <v>-1.6838176086036993E-3</v>
      </c>
      <c r="G6" s="133">
        <f>D6/D5</f>
        <v>0.89992887378364561</v>
      </c>
    </row>
    <row r="7" spans="2:7" x14ac:dyDescent="0.2">
      <c r="B7" s="101" t="s">
        <v>235</v>
      </c>
      <c r="C7" s="17">
        <v>958947</v>
      </c>
      <c r="D7" s="17">
        <v>997529</v>
      </c>
      <c r="E7" s="131">
        <f t="shared" si="0"/>
        <v>38582</v>
      </c>
      <c r="F7" s="132">
        <f>D7/C7-1</f>
        <v>4.0233714689132949E-2</v>
      </c>
      <c r="G7" s="133">
        <f>D7/D6</f>
        <v>0.85232517802184282</v>
      </c>
    </row>
    <row r="8" spans="2:7" x14ac:dyDescent="0.2">
      <c r="B8" s="101" t="s">
        <v>224</v>
      </c>
      <c r="C8" s="17">
        <v>213389</v>
      </c>
      <c r="D8" s="17">
        <v>172833</v>
      </c>
      <c r="E8" s="131">
        <f t="shared" si="0"/>
        <v>-40556</v>
      </c>
      <c r="F8" s="132">
        <f>D8/C8-1</f>
        <v>-0.19005665709104036</v>
      </c>
      <c r="G8" s="113">
        <f>D8/D6</f>
        <v>0.14767482197815718</v>
      </c>
    </row>
    <row r="9" spans="2:7" ht="15.75" customHeight="1" thickBot="1" x14ac:dyDescent="0.25">
      <c r="B9" s="102" t="s">
        <v>236</v>
      </c>
      <c r="C9" s="19">
        <f t="shared" ref="C9" si="1">C5-C6</f>
        <v>142492</v>
      </c>
      <c r="D9" s="19">
        <f>D5-D6</f>
        <v>130143</v>
      </c>
      <c r="E9" s="137">
        <f t="shared" si="0"/>
        <v>-12349</v>
      </c>
      <c r="F9" s="138">
        <f t="shared" ref="F9" si="2">D9/C9-1</f>
        <v>-8.6664514499059542E-2</v>
      </c>
      <c r="G9" s="120">
        <f>D9/D5</f>
        <v>0.10007112621635442</v>
      </c>
    </row>
    <row r="10" spans="2:7" x14ac:dyDescent="0.2">
      <c r="D10" s="110"/>
      <c r="E10" s="110"/>
    </row>
    <row r="11" spans="2:7" x14ac:dyDescent="0.2">
      <c r="D11" s="110"/>
      <c r="E11" s="110"/>
    </row>
    <row r="12" spans="2:7" ht="12" customHeight="1" x14ac:dyDescent="0.2"/>
    <row r="13" spans="2:7" x14ac:dyDescent="0.2">
      <c r="B13" s="8" t="s">
        <v>209</v>
      </c>
      <c r="C13" s="6"/>
      <c r="D13" s="108"/>
      <c r="E13" s="108"/>
    </row>
    <row r="14" spans="2:7" x14ac:dyDescent="0.2">
      <c r="D14" s="111"/>
    </row>
    <row r="15" spans="2:7" x14ac:dyDescent="0.2">
      <c r="C15" s="116"/>
      <c r="D15" s="111"/>
    </row>
    <row r="16" spans="2:7" x14ac:dyDescent="0.2">
      <c r="C16" s="134"/>
      <c r="D16" s="111"/>
    </row>
    <row r="17" spans="3:5" x14ac:dyDescent="0.2">
      <c r="C17" s="134"/>
      <c r="D17" s="111"/>
    </row>
    <row r="18" spans="3:5" x14ac:dyDescent="0.2">
      <c r="C18" s="136"/>
      <c r="D18" s="135"/>
    </row>
    <row r="19" spans="3:5" x14ac:dyDescent="0.2">
      <c r="D19"/>
      <c r="E19"/>
    </row>
    <row r="20" spans="3:5" x14ac:dyDescent="0.2">
      <c r="D20"/>
      <c r="E20"/>
    </row>
    <row r="21" spans="3:5" x14ac:dyDescent="0.2">
      <c r="D21"/>
      <c r="E21"/>
    </row>
    <row r="22" spans="3:5" x14ac:dyDescent="0.2">
      <c r="D22"/>
      <c r="E22"/>
    </row>
    <row r="23" spans="3:5" x14ac:dyDescent="0.2">
      <c r="D23"/>
      <c r="E23"/>
    </row>
    <row r="24" spans="3:5" x14ac:dyDescent="0.2">
      <c r="D24"/>
      <c r="E24"/>
    </row>
    <row r="25" spans="3:5" x14ac:dyDescent="0.2">
      <c r="D25"/>
      <c r="E25"/>
    </row>
    <row r="26" spans="3:5" x14ac:dyDescent="0.2">
      <c r="D26"/>
      <c r="E26"/>
    </row>
    <row r="27" spans="3:5" x14ac:dyDescent="0.2">
      <c r="D27" s="141"/>
    </row>
  </sheetData>
  <mergeCells count="1">
    <mergeCell ref="B2:G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workbookViewId="0">
      <selection activeCell="B2" sqref="B2:G2"/>
    </sheetView>
  </sheetViews>
  <sheetFormatPr defaultRowHeight="15" customHeight="1" x14ac:dyDescent="0.2"/>
  <cols>
    <col min="1" max="1" width="9" customWidth="1"/>
    <col min="2" max="2" width="29.85546875" customWidth="1"/>
    <col min="3" max="7" width="15.42578125" customWidth="1"/>
  </cols>
  <sheetData>
    <row r="1" spans="1:7" ht="23.25" customHeight="1" thickBot="1" x14ac:dyDescent="0.25"/>
    <row r="2" spans="1:7" ht="22.5" customHeight="1" thickBot="1" x14ac:dyDescent="0.25">
      <c r="B2" s="155" t="s">
        <v>249</v>
      </c>
      <c r="C2" s="156"/>
      <c r="D2" s="156"/>
      <c r="E2" s="156"/>
      <c r="F2" s="156"/>
      <c r="G2" s="157"/>
    </row>
    <row r="3" spans="1:7" ht="15" customHeight="1" thickBot="1" x14ac:dyDescent="0.25">
      <c r="B3" s="2"/>
      <c r="C3" s="2"/>
      <c r="D3" s="2"/>
      <c r="E3" s="2"/>
      <c r="F3" s="2"/>
    </row>
    <row r="4" spans="1:7" ht="34.5" customHeight="1" x14ac:dyDescent="0.2">
      <c r="A4" s="2"/>
      <c r="B4" s="75" t="s">
        <v>210</v>
      </c>
      <c r="C4" s="43" t="s">
        <v>288</v>
      </c>
      <c r="D4" s="43" t="s">
        <v>289</v>
      </c>
      <c r="E4" s="43" t="s">
        <v>290</v>
      </c>
      <c r="F4" s="92" t="s">
        <v>291</v>
      </c>
      <c r="G4" s="98" t="s">
        <v>223</v>
      </c>
    </row>
    <row r="5" spans="1:7" ht="19.5" customHeight="1" x14ac:dyDescent="0.2">
      <c r="A5" s="2"/>
      <c r="B5" s="46" t="s">
        <v>219</v>
      </c>
      <c r="C5" s="47">
        <f>'2026'!C4</f>
        <v>1172336</v>
      </c>
      <c r="D5" s="47">
        <f>'2026'!D4</f>
        <v>1170362</v>
      </c>
      <c r="E5" s="47">
        <f>D5-C5</f>
        <v>-1974</v>
      </c>
      <c r="F5" s="121">
        <f>D5/C5-1</f>
        <v>-1.6838176086036993E-3</v>
      </c>
      <c r="G5" s="124">
        <f>D5/D5</f>
        <v>1</v>
      </c>
    </row>
    <row r="6" spans="1:7" ht="15" customHeight="1" x14ac:dyDescent="0.2">
      <c r="A6" s="2"/>
      <c r="B6" s="33" t="s">
        <v>1</v>
      </c>
      <c r="C6" s="25">
        <f>'2026'!C6</f>
        <v>933040</v>
      </c>
      <c r="D6" s="25">
        <f>'2026'!D6</f>
        <v>946150</v>
      </c>
      <c r="E6" s="25">
        <f>D6-C6</f>
        <v>13110</v>
      </c>
      <c r="F6" s="122">
        <f>D6/C6-1</f>
        <v>1.4050844551144692E-2</v>
      </c>
      <c r="G6" s="125">
        <f>D6/D5</f>
        <v>0.80842508557181458</v>
      </c>
    </row>
    <row r="7" spans="1:7" ht="15" customHeight="1" x14ac:dyDescent="0.2">
      <c r="A7" s="2"/>
      <c r="B7" s="33" t="s">
        <v>55</v>
      </c>
      <c r="C7" s="25">
        <f>'2026'!C66</f>
        <v>10920</v>
      </c>
      <c r="D7" s="25">
        <f>'2026'!D66</f>
        <v>12909</v>
      </c>
      <c r="E7" s="25">
        <f t="shared" ref="E7:E10" si="0">D7-C7</f>
        <v>1989</v>
      </c>
      <c r="F7" s="122">
        <f t="shared" ref="F7:F10" si="1">D7/C7-1</f>
        <v>0.18214285714285716</v>
      </c>
      <c r="G7" s="125">
        <f>D7/D5</f>
        <v>1.1029920657027483E-2</v>
      </c>
    </row>
    <row r="8" spans="1:7" ht="24" x14ac:dyDescent="0.2">
      <c r="A8" s="2"/>
      <c r="B8" s="34" t="s">
        <v>198</v>
      </c>
      <c r="C8" s="25">
        <f>'2026'!C114</f>
        <v>90672</v>
      </c>
      <c r="D8" s="25">
        <f>'2026'!D114</f>
        <v>70833</v>
      </c>
      <c r="E8" s="25">
        <f t="shared" si="0"/>
        <v>-19839</v>
      </c>
      <c r="F8" s="122">
        <f>D8/C8-1</f>
        <v>-0.21879962943356268</v>
      </c>
      <c r="G8" s="125">
        <f>D8/D5</f>
        <v>6.0522299937967913E-2</v>
      </c>
    </row>
    <row r="9" spans="1:7" ht="15" customHeight="1" x14ac:dyDescent="0.2">
      <c r="A9" s="2"/>
      <c r="B9" s="33" t="s">
        <v>204</v>
      </c>
      <c r="C9" s="25">
        <f>'2026'!C174</f>
        <v>4428</v>
      </c>
      <c r="D9" s="25">
        <f>'2026'!D174</f>
        <v>3625</v>
      </c>
      <c r="E9" s="25">
        <f t="shared" si="0"/>
        <v>-803</v>
      </c>
      <c r="F9" s="122">
        <f t="shared" si="1"/>
        <v>-0.18134598012646796</v>
      </c>
      <c r="G9" s="125">
        <f>D9/D5</f>
        <v>3.0973322783890795E-3</v>
      </c>
    </row>
    <row r="10" spans="1:7" ht="15" customHeight="1" thickBot="1" x14ac:dyDescent="0.25">
      <c r="A10" s="2"/>
      <c r="B10" s="35" t="s">
        <v>203</v>
      </c>
      <c r="C10" s="26">
        <f>'2026'!C160</f>
        <v>26785</v>
      </c>
      <c r="D10" s="26">
        <f>'2026'!D160</f>
        <v>27779</v>
      </c>
      <c r="E10" s="26">
        <f t="shared" si="0"/>
        <v>994</v>
      </c>
      <c r="F10" s="123">
        <f t="shared" si="1"/>
        <v>3.7110322941945162E-2</v>
      </c>
      <c r="G10" s="126">
        <f>D10/D5</f>
        <v>2.3735391272102137E-2</v>
      </c>
    </row>
    <row r="11" spans="1:7" ht="15" customHeight="1" x14ac:dyDescent="0.2">
      <c r="B11" s="2"/>
      <c r="D11" s="2"/>
      <c r="E11" s="2"/>
      <c r="F11" s="2"/>
    </row>
    <row r="14" spans="1:7" ht="15" customHeight="1" x14ac:dyDescent="0.2">
      <c r="B14" s="1" t="s">
        <v>209</v>
      </c>
    </row>
    <row r="15" spans="1:7" ht="15" customHeight="1" x14ac:dyDescent="0.2">
      <c r="B15" s="158"/>
      <c r="C15" s="158"/>
      <c r="D15" s="158"/>
      <c r="E15" s="158"/>
      <c r="F15" s="158"/>
    </row>
    <row r="21" spans="3:6" ht="15" customHeight="1" x14ac:dyDescent="0.2">
      <c r="C21" s="3"/>
      <c r="D21" s="4"/>
      <c r="E21" s="4"/>
      <c r="F21" s="4"/>
    </row>
  </sheetData>
  <mergeCells count="2">
    <mergeCell ref="B15:F15"/>
    <mergeCell ref="B2:G2"/>
  </mergeCells>
  <pageMargins left="0.75" right="0.75" top="1" bottom="1" header="0.5" footer="0.5"/>
  <pageSetup paperSize="9"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7"/>
  <sheetViews>
    <sheetView workbookViewId="0">
      <selection activeCell="B2" sqref="B2:F2"/>
    </sheetView>
  </sheetViews>
  <sheetFormatPr defaultRowHeight="15" customHeight="1" x14ac:dyDescent="0.2"/>
  <cols>
    <col min="2" max="2" width="35.7109375" customWidth="1"/>
    <col min="3" max="6" width="16.42578125" customWidth="1"/>
  </cols>
  <sheetData>
    <row r="1" spans="2:7" ht="23.25" customHeight="1" thickBot="1" x14ac:dyDescent="0.25"/>
    <row r="2" spans="2:7" ht="22.5" customHeight="1" thickBot="1" x14ac:dyDescent="0.25">
      <c r="B2" s="155" t="s">
        <v>249</v>
      </c>
      <c r="C2" s="156"/>
      <c r="D2" s="156"/>
      <c r="E2" s="156"/>
      <c r="F2" s="157"/>
    </row>
    <row r="3" spans="2:7" ht="15" customHeight="1" thickBot="1" x14ac:dyDescent="0.25">
      <c r="B3" s="2"/>
      <c r="C3" s="2"/>
      <c r="D3" s="2"/>
      <c r="E3" s="2"/>
      <c r="F3" s="2"/>
    </row>
    <row r="4" spans="2:7" ht="30" x14ac:dyDescent="0.2">
      <c r="B4" s="75" t="s">
        <v>287</v>
      </c>
      <c r="C4" s="43" t="s">
        <v>288</v>
      </c>
      <c r="D4" s="43" t="s">
        <v>289</v>
      </c>
      <c r="E4" s="43" t="s">
        <v>290</v>
      </c>
      <c r="F4" s="92" t="s">
        <v>291</v>
      </c>
    </row>
    <row r="5" spans="2:7" ht="19.5" customHeight="1" x14ac:dyDescent="0.2">
      <c r="B5" s="46" t="s">
        <v>219</v>
      </c>
      <c r="C5" s="47">
        <f>SUM(C6:C33)</f>
        <v>73886</v>
      </c>
      <c r="D5" s="47">
        <f>SUM(D6:D33)</f>
        <v>96226</v>
      </c>
      <c r="E5" s="47">
        <f t="shared" ref="E5" si="0">D5-C5</f>
        <v>22340</v>
      </c>
      <c r="F5" s="124">
        <f>D5/C5-1</f>
        <v>0.30235768616517333</v>
      </c>
    </row>
    <row r="6" spans="2:7" ht="15" customHeight="1" x14ac:dyDescent="0.2">
      <c r="B6" s="127" t="s">
        <v>60</v>
      </c>
      <c r="C6" s="16">
        <v>1478</v>
      </c>
      <c r="D6" s="16">
        <v>1537</v>
      </c>
      <c r="E6" s="16">
        <f t="shared" ref="E6:E33" si="1">D6-C6</f>
        <v>59</v>
      </c>
      <c r="F6" s="71">
        <f t="shared" ref="F5:F33" si="2">D6/C6-1</f>
        <v>3.9918809201623828E-2</v>
      </c>
      <c r="G6" s="114"/>
    </row>
    <row r="7" spans="2:7" ht="15" customHeight="1" x14ac:dyDescent="0.2">
      <c r="B7" s="127" t="s">
        <v>44</v>
      </c>
      <c r="C7" s="16">
        <v>1371</v>
      </c>
      <c r="D7" s="16">
        <v>1632</v>
      </c>
      <c r="E7" s="16">
        <f t="shared" si="1"/>
        <v>261</v>
      </c>
      <c r="F7" s="71">
        <f t="shared" si="2"/>
        <v>0.19037199124726478</v>
      </c>
    </row>
    <row r="8" spans="2:7" ht="15" customHeight="1" x14ac:dyDescent="0.2">
      <c r="B8" s="127" t="s">
        <v>6</v>
      </c>
      <c r="C8" s="16">
        <v>1837</v>
      </c>
      <c r="D8" s="16">
        <v>2136</v>
      </c>
      <c r="E8" s="16">
        <f t="shared" si="1"/>
        <v>299</v>
      </c>
      <c r="F8" s="71">
        <f t="shared" si="2"/>
        <v>0.16276537833424065</v>
      </c>
    </row>
    <row r="9" spans="2:7" ht="15" customHeight="1" x14ac:dyDescent="0.2">
      <c r="B9" s="31" t="s">
        <v>29</v>
      </c>
      <c r="C9" s="16">
        <v>6506</v>
      </c>
      <c r="D9" s="16">
        <v>9479</v>
      </c>
      <c r="E9" s="16">
        <f t="shared" si="1"/>
        <v>2973</v>
      </c>
      <c r="F9" s="71">
        <f t="shared" si="2"/>
        <v>0.45696280356593921</v>
      </c>
    </row>
    <row r="10" spans="2:7" ht="15" customHeight="1" x14ac:dyDescent="0.2">
      <c r="B10" s="31" t="s">
        <v>46</v>
      </c>
      <c r="C10" s="16">
        <v>10212</v>
      </c>
      <c r="D10" s="16">
        <v>14051</v>
      </c>
      <c r="E10" s="16">
        <f t="shared" si="1"/>
        <v>3839</v>
      </c>
      <c r="F10" s="71">
        <f t="shared" si="2"/>
        <v>0.37593027810419111</v>
      </c>
    </row>
    <row r="11" spans="2:7" ht="15" customHeight="1" x14ac:dyDescent="0.2">
      <c r="B11" s="127" t="s">
        <v>23</v>
      </c>
      <c r="C11" s="16">
        <v>863</v>
      </c>
      <c r="D11" s="16">
        <v>849</v>
      </c>
      <c r="E11" s="16">
        <f t="shared" si="1"/>
        <v>-14</v>
      </c>
      <c r="F11" s="71">
        <f t="shared" si="2"/>
        <v>-1.6222479721900385E-2</v>
      </c>
    </row>
    <row r="12" spans="2:7" ht="15" customHeight="1" x14ac:dyDescent="0.2">
      <c r="B12" s="127" t="s">
        <v>42</v>
      </c>
      <c r="C12" s="16">
        <v>2988</v>
      </c>
      <c r="D12" s="16">
        <v>4315</v>
      </c>
      <c r="E12" s="16">
        <f t="shared" si="1"/>
        <v>1327</v>
      </c>
      <c r="F12" s="71">
        <f t="shared" si="2"/>
        <v>0.44410977242302541</v>
      </c>
    </row>
    <row r="13" spans="2:7" ht="15" customHeight="1" x14ac:dyDescent="0.2">
      <c r="B13" s="127" t="s">
        <v>8</v>
      </c>
      <c r="C13" s="16">
        <v>1332</v>
      </c>
      <c r="D13" s="16">
        <v>1138</v>
      </c>
      <c r="E13" s="16">
        <f t="shared" si="1"/>
        <v>-194</v>
      </c>
      <c r="F13" s="71">
        <f t="shared" si="2"/>
        <v>-0.14564564564564564</v>
      </c>
    </row>
    <row r="14" spans="2:7" ht="15" customHeight="1" x14ac:dyDescent="0.2">
      <c r="B14" s="127" t="s">
        <v>26</v>
      </c>
      <c r="C14" s="16">
        <v>1015</v>
      </c>
      <c r="D14" s="16">
        <v>1113</v>
      </c>
      <c r="E14" s="16">
        <f t="shared" si="1"/>
        <v>98</v>
      </c>
      <c r="F14" s="71">
        <f t="shared" si="2"/>
        <v>9.6551724137931005E-2</v>
      </c>
    </row>
    <row r="15" spans="2:7" ht="15" customHeight="1" x14ac:dyDescent="0.2">
      <c r="B15" s="127" t="s">
        <v>36</v>
      </c>
      <c r="C15" s="16">
        <v>4170</v>
      </c>
      <c r="D15" s="16">
        <v>7117</v>
      </c>
      <c r="E15" s="16">
        <f t="shared" si="1"/>
        <v>2947</v>
      </c>
      <c r="F15" s="71">
        <f t="shared" si="2"/>
        <v>0.7067146282973622</v>
      </c>
    </row>
    <row r="16" spans="2:7" ht="15" customHeight="1" x14ac:dyDescent="0.2">
      <c r="B16" s="31" t="s">
        <v>52</v>
      </c>
      <c r="C16" s="16">
        <v>1363</v>
      </c>
      <c r="D16" s="16">
        <v>1750</v>
      </c>
      <c r="E16" s="16">
        <f t="shared" si="1"/>
        <v>387</v>
      </c>
      <c r="F16" s="71">
        <f t="shared" si="2"/>
        <v>0.28393250183418939</v>
      </c>
    </row>
    <row r="17" spans="1:6" ht="15" customHeight="1" x14ac:dyDescent="0.2">
      <c r="B17" s="127" t="s">
        <v>12</v>
      </c>
      <c r="C17" s="16">
        <v>3375</v>
      </c>
      <c r="D17" s="16">
        <v>2508</v>
      </c>
      <c r="E17" s="16">
        <f t="shared" si="1"/>
        <v>-867</v>
      </c>
      <c r="F17" s="71">
        <f t="shared" si="2"/>
        <v>-0.25688888888888894</v>
      </c>
    </row>
    <row r="18" spans="1:6" ht="15" customHeight="1" x14ac:dyDescent="0.2">
      <c r="B18" s="127" t="s">
        <v>293</v>
      </c>
      <c r="C18" s="16">
        <v>3441</v>
      </c>
      <c r="D18" s="16">
        <v>4470</v>
      </c>
      <c r="E18" s="16">
        <f t="shared" si="1"/>
        <v>1029</v>
      </c>
      <c r="F18" s="71">
        <f t="shared" si="2"/>
        <v>0.29904097646033123</v>
      </c>
    </row>
    <row r="19" spans="1:6" ht="15" customHeight="1" x14ac:dyDescent="0.2">
      <c r="B19" s="31" t="s">
        <v>48</v>
      </c>
      <c r="C19" s="16">
        <v>75</v>
      </c>
      <c r="D19" s="16">
        <v>102</v>
      </c>
      <c r="E19" s="16">
        <f t="shared" si="1"/>
        <v>27</v>
      </c>
      <c r="F19" s="71">
        <f t="shared" si="2"/>
        <v>0.3600000000000001</v>
      </c>
    </row>
    <row r="20" spans="1:6" ht="15" customHeight="1" x14ac:dyDescent="0.2">
      <c r="B20" s="31" t="s">
        <v>37</v>
      </c>
      <c r="C20" s="16">
        <v>94</v>
      </c>
      <c r="D20" s="16">
        <v>143</v>
      </c>
      <c r="E20" s="16">
        <f t="shared" si="1"/>
        <v>49</v>
      </c>
      <c r="F20" s="71">
        <f t="shared" si="2"/>
        <v>0.52127659574468077</v>
      </c>
    </row>
    <row r="21" spans="1:6" ht="15" customHeight="1" x14ac:dyDescent="0.2">
      <c r="A21" s="107"/>
      <c r="B21" s="31" t="s">
        <v>49</v>
      </c>
      <c r="C21" s="16">
        <v>2736</v>
      </c>
      <c r="D21" s="16">
        <v>3441</v>
      </c>
      <c r="E21" s="16">
        <f t="shared" si="1"/>
        <v>705</v>
      </c>
      <c r="F21" s="71">
        <f t="shared" si="2"/>
        <v>0.25767543859649122</v>
      </c>
    </row>
    <row r="22" spans="1:6" s="107" customFormat="1" ht="15" customHeight="1" x14ac:dyDescent="0.2">
      <c r="A22"/>
      <c r="B22" s="127" t="s">
        <v>14</v>
      </c>
      <c r="C22" s="139">
        <v>10165</v>
      </c>
      <c r="D22" s="139">
        <v>13651</v>
      </c>
      <c r="E22" s="139">
        <f t="shared" si="1"/>
        <v>3486</v>
      </c>
      <c r="F22" s="113">
        <f t="shared" si="2"/>
        <v>0.34294146581406793</v>
      </c>
    </row>
    <row r="23" spans="1:6" ht="15" customHeight="1" x14ac:dyDescent="0.2">
      <c r="B23" s="127" t="s">
        <v>39</v>
      </c>
      <c r="C23" s="16">
        <v>892</v>
      </c>
      <c r="D23" s="16">
        <v>1114</v>
      </c>
      <c r="E23" s="16">
        <f t="shared" si="1"/>
        <v>222</v>
      </c>
      <c r="F23" s="71">
        <f t="shared" si="2"/>
        <v>0.24887892376681608</v>
      </c>
    </row>
    <row r="24" spans="1:6" ht="15" customHeight="1" x14ac:dyDescent="0.2">
      <c r="B24" s="31" t="s">
        <v>15</v>
      </c>
      <c r="C24" s="16">
        <v>1473</v>
      </c>
      <c r="D24" s="16">
        <v>1922</v>
      </c>
      <c r="E24" s="16">
        <f t="shared" si="1"/>
        <v>449</v>
      </c>
      <c r="F24" s="71">
        <f t="shared" si="2"/>
        <v>0.30482009504412755</v>
      </c>
    </row>
    <row r="25" spans="1:6" ht="15" customHeight="1" x14ac:dyDescent="0.2">
      <c r="B25" s="127" t="s">
        <v>34</v>
      </c>
      <c r="C25" s="16">
        <v>5825</v>
      </c>
      <c r="D25" s="16">
        <v>7089</v>
      </c>
      <c r="E25" s="16">
        <f t="shared" si="1"/>
        <v>1264</v>
      </c>
      <c r="F25" s="71">
        <f t="shared" si="2"/>
        <v>0.21699570815450642</v>
      </c>
    </row>
    <row r="26" spans="1:6" ht="15" customHeight="1" x14ac:dyDescent="0.2">
      <c r="B26" s="31" t="s">
        <v>45</v>
      </c>
      <c r="C26" s="16">
        <v>5008</v>
      </c>
      <c r="D26" s="16">
        <v>6243</v>
      </c>
      <c r="E26" s="16">
        <f t="shared" si="1"/>
        <v>1235</v>
      </c>
      <c r="F26" s="71">
        <f>D26/C26-1</f>
        <v>0.2466054313099042</v>
      </c>
    </row>
    <row r="27" spans="1:6" ht="15" customHeight="1" x14ac:dyDescent="0.2">
      <c r="B27" s="127" t="s">
        <v>17</v>
      </c>
      <c r="C27" s="16">
        <v>1240</v>
      </c>
      <c r="D27" s="16">
        <v>2326</v>
      </c>
      <c r="E27" s="16">
        <f t="shared" si="1"/>
        <v>1086</v>
      </c>
      <c r="F27" s="71">
        <f t="shared" si="2"/>
        <v>0.87580645161290316</v>
      </c>
    </row>
    <row r="28" spans="1:6" ht="15" customHeight="1" x14ac:dyDescent="0.2">
      <c r="B28" s="31" t="s">
        <v>41</v>
      </c>
      <c r="C28" s="16">
        <v>415</v>
      </c>
      <c r="D28" s="16">
        <v>522</v>
      </c>
      <c r="E28" s="16">
        <f t="shared" si="1"/>
        <v>107</v>
      </c>
      <c r="F28" s="71">
        <f t="shared" si="2"/>
        <v>0.25783132530120478</v>
      </c>
    </row>
    <row r="29" spans="1:6" ht="15" customHeight="1" x14ac:dyDescent="0.2">
      <c r="B29" s="31" t="s">
        <v>9</v>
      </c>
      <c r="C29" s="16">
        <v>1204</v>
      </c>
      <c r="D29" s="16">
        <v>1545</v>
      </c>
      <c r="E29" s="16">
        <f t="shared" si="1"/>
        <v>341</v>
      </c>
      <c r="F29" s="71">
        <f t="shared" si="2"/>
        <v>0.28322259136212624</v>
      </c>
    </row>
    <row r="30" spans="1:6" ht="15" customHeight="1" x14ac:dyDescent="0.2">
      <c r="B30" s="31" t="s">
        <v>24</v>
      </c>
      <c r="C30" s="16">
        <v>767</v>
      </c>
      <c r="D30" s="16">
        <v>974</v>
      </c>
      <c r="E30" s="16">
        <f t="shared" si="1"/>
        <v>207</v>
      </c>
      <c r="F30" s="71">
        <f t="shared" si="2"/>
        <v>0.26988265971316827</v>
      </c>
    </row>
    <row r="31" spans="1:6" ht="15" customHeight="1" x14ac:dyDescent="0.2">
      <c r="B31" s="31" t="s">
        <v>28</v>
      </c>
      <c r="C31" s="16">
        <v>1485</v>
      </c>
      <c r="D31" s="16">
        <v>1698</v>
      </c>
      <c r="E31" s="16">
        <f t="shared" si="1"/>
        <v>213</v>
      </c>
      <c r="F31" s="71">
        <f t="shared" si="2"/>
        <v>0.14343434343434347</v>
      </c>
    </row>
    <row r="32" spans="1:6" ht="15" customHeight="1" x14ac:dyDescent="0.2">
      <c r="B32" s="127" t="s">
        <v>7</v>
      </c>
      <c r="C32" s="16">
        <v>2259</v>
      </c>
      <c r="D32" s="16">
        <v>2868</v>
      </c>
      <c r="E32" s="16">
        <f t="shared" si="1"/>
        <v>609</v>
      </c>
      <c r="F32" s="71">
        <f t="shared" si="2"/>
        <v>0.26958831341301459</v>
      </c>
    </row>
    <row r="33" spans="2:6" ht="15" customHeight="1" thickBot="1" x14ac:dyDescent="0.25">
      <c r="B33" s="151" t="s">
        <v>33</v>
      </c>
      <c r="C33" s="18">
        <v>297</v>
      </c>
      <c r="D33" s="18">
        <v>493</v>
      </c>
      <c r="E33" s="18">
        <f t="shared" si="1"/>
        <v>196</v>
      </c>
      <c r="F33" s="72">
        <f t="shared" si="2"/>
        <v>0.65993265993266004</v>
      </c>
    </row>
    <row r="37" spans="2:6" ht="15" customHeight="1" x14ac:dyDescent="0.2">
      <c r="B37" s="36" t="s">
        <v>209</v>
      </c>
    </row>
  </sheetData>
  <sortState xmlns:xlrd2="http://schemas.microsoft.com/office/spreadsheetml/2017/richdata2" ref="B6:F33">
    <sortCondition ref="B6:B33"/>
  </sortState>
  <mergeCells count="1">
    <mergeCell ref="B2:F2"/>
  </mergeCells>
  <pageMargins left="0.75" right="0.75" top="1" bottom="1" header="0.5" footer="0.5"/>
  <pageSetup paperSize="9"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9"/>
  <sheetViews>
    <sheetView workbookViewId="0">
      <selection activeCell="B2" sqref="B2:G2"/>
    </sheetView>
  </sheetViews>
  <sheetFormatPr defaultRowHeight="12.75" x14ac:dyDescent="0.2"/>
  <cols>
    <col min="1" max="1" width="5.140625" customWidth="1"/>
    <col min="2" max="2" width="27.5703125" customWidth="1"/>
    <col min="3" max="4" width="15.5703125" customWidth="1"/>
    <col min="5" max="7" width="15.42578125" customWidth="1"/>
  </cols>
  <sheetData>
    <row r="1" spans="1:7" ht="18" customHeight="1" thickBot="1" x14ac:dyDescent="0.25"/>
    <row r="2" spans="1:7" ht="22.5" customHeight="1" thickBot="1" x14ac:dyDescent="0.3">
      <c r="A2" s="24"/>
      <c r="B2" s="159" t="s">
        <v>249</v>
      </c>
      <c r="C2" s="160"/>
      <c r="D2" s="160"/>
      <c r="E2" s="160"/>
      <c r="F2" s="160"/>
      <c r="G2" s="161"/>
    </row>
    <row r="3" spans="1:7" ht="13.5" thickBot="1" x14ac:dyDescent="0.25"/>
    <row r="4" spans="1:7" ht="32.25" customHeight="1" x14ac:dyDescent="0.2">
      <c r="B4" s="45" t="s">
        <v>214</v>
      </c>
      <c r="C4" s="43" t="s">
        <v>288</v>
      </c>
      <c r="D4" s="43" t="s">
        <v>289</v>
      </c>
      <c r="E4" s="43" t="s">
        <v>290</v>
      </c>
      <c r="F4" s="92" t="s">
        <v>291</v>
      </c>
      <c r="G4" s="98" t="s">
        <v>222</v>
      </c>
    </row>
    <row r="5" spans="1:7" ht="17.25" customHeight="1" x14ac:dyDescent="0.2">
      <c r="B5" s="21" t="s">
        <v>216</v>
      </c>
      <c r="C5" s="16">
        <v>659765</v>
      </c>
      <c r="D5" s="16">
        <v>621705</v>
      </c>
      <c r="E5" s="103">
        <f>D5-C5</f>
        <v>-38060</v>
      </c>
      <c r="F5" s="29">
        <f>D5/C5-1</f>
        <v>-5.7687206808484826E-2</v>
      </c>
      <c r="G5" s="73">
        <f>D5/'2026'!D4</f>
        <v>0.53120743838231244</v>
      </c>
    </row>
    <row r="6" spans="1:7" ht="16.5" customHeight="1" x14ac:dyDescent="0.2">
      <c r="B6" s="22" t="s">
        <v>215</v>
      </c>
      <c r="C6" s="16">
        <v>503009</v>
      </c>
      <c r="D6" s="16">
        <v>539159</v>
      </c>
      <c r="E6" s="103">
        <f t="shared" ref="E6:E8" si="0">D6-C6</f>
        <v>36150</v>
      </c>
      <c r="F6" s="29">
        <f t="shared" ref="F6:F7" si="1">D6/C6-1</f>
        <v>7.1867501376714937E-2</v>
      </c>
      <c r="G6" s="73">
        <f>D6/'2026'!D4</f>
        <v>0.46067712383006282</v>
      </c>
    </row>
    <row r="7" spans="1:7" x14ac:dyDescent="0.2">
      <c r="B7" s="22" t="s">
        <v>286</v>
      </c>
      <c r="C7" s="16">
        <v>7175</v>
      </c>
      <c r="D7" s="16">
        <v>7086</v>
      </c>
      <c r="E7" s="103">
        <f t="shared" si="0"/>
        <v>-89</v>
      </c>
      <c r="F7" s="29">
        <f t="shared" si="1"/>
        <v>-1.2404181184669016E-2</v>
      </c>
      <c r="G7" s="73">
        <f>D7/'2026'!D4</f>
        <v>6.0545369723213841E-3</v>
      </c>
    </row>
    <row r="8" spans="1:7" ht="17.25" customHeight="1" thickBot="1" x14ac:dyDescent="0.25">
      <c r="B8" s="23" t="s">
        <v>217</v>
      </c>
      <c r="C8" s="18">
        <v>2387</v>
      </c>
      <c r="D8" s="18">
        <v>2412</v>
      </c>
      <c r="E8" s="104">
        <f t="shared" si="0"/>
        <v>25</v>
      </c>
      <c r="F8" s="30">
        <f>D8/C8-1</f>
        <v>1.047339757017185E-2</v>
      </c>
      <c r="G8" s="74">
        <f>D8/'2026'!D4</f>
        <v>2.0609008153032993E-3</v>
      </c>
    </row>
    <row r="12" spans="1:7" x14ac:dyDescent="0.2">
      <c r="B12" s="162" t="s">
        <v>209</v>
      </c>
      <c r="C12" s="162"/>
      <c r="D12" s="162"/>
    </row>
    <row r="15" spans="1:7" x14ac:dyDescent="0.2">
      <c r="C15" s="140"/>
      <c r="D15" s="140"/>
    </row>
    <row r="16" spans="1:7" x14ac:dyDescent="0.2">
      <c r="C16" s="114"/>
      <c r="D16" s="114"/>
    </row>
    <row r="17" spans="3:4" x14ac:dyDescent="0.2">
      <c r="C17" s="114"/>
      <c r="D17" s="114"/>
    </row>
    <row r="18" spans="3:4" x14ac:dyDescent="0.2">
      <c r="C18" s="114"/>
      <c r="D18" s="114"/>
    </row>
    <row r="19" spans="3:4" x14ac:dyDescent="0.2">
      <c r="C19" s="114"/>
      <c r="D19" s="114"/>
    </row>
  </sheetData>
  <sortState xmlns:xlrd2="http://schemas.microsoft.com/office/spreadsheetml/2017/richdata2" ref="D16:E18">
    <sortCondition descending="1" ref="E15:E18"/>
  </sortState>
  <mergeCells count="2">
    <mergeCell ref="B2:G2"/>
    <mergeCell ref="B12:D1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G33"/>
  <sheetViews>
    <sheetView workbookViewId="0">
      <selection activeCell="B2" sqref="B2:G2"/>
    </sheetView>
  </sheetViews>
  <sheetFormatPr defaultRowHeight="12.75" x14ac:dyDescent="0.2"/>
  <cols>
    <col min="1" max="1" width="7.28515625" customWidth="1"/>
    <col min="2" max="2" width="27.7109375" customWidth="1"/>
    <col min="3" max="7" width="16.140625" customWidth="1"/>
  </cols>
  <sheetData>
    <row r="1" spans="2:7" ht="21.75" customHeight="1" thickBot="1" x14ac:dyDescent="0.25"/>
    <row r="2" spans="2:7" ht="22.5" customHeight="1" thickBot="1" x14ac:dyDescent="0.25">
      <c r="B2" s="159" t="s">
        <v>249</v>
      </c>
      <c r="C2" s="160"/>
      <c r="D2" s="160"/>
      <c r="E2" s="160"/>
      <c r="F2" s="160"/>
      <c r="G2" s="161"/>
    </row>
    <row r="3" spans="2:7" ht="13.5" thickBot="1" x14ac:dyDescent="0.25"/>
    <row r="4" spans="2:7" ht="36.75" customHeight="1" x14ac:dyDescent="0.2">
      <c r="B4" s="94" t="s">
        <v>218</v>
      </c>
      <c r="C4" s="43" t="s">
        <v>288</v>
      </c>
      <c r="D4" s="43" t="s">
        <v>289</v>
      </c>
      <c r="E4" s="43" t="s">
        <v>290</v>
      </c>
      <c r="F4" s="92" t="s">
        <v>291</v>
      </c>
      <c r="G4" s="44" t="s">
        <v>222</v>
      </c>
    </row>
    <row r="5" spans="2:7" x14ac:dyDescent="0.2">
      <c r="B5" s="31" t="s">
        <v>265</v>
      </c>
      <c r="C5" s="16">
        <v>347977</v>
      </c>
      <c r="D5" s="16">
        <v>393560</v>
      </c>
      <c r="E5" s="103">
        <f>D5-C5</f>
        <v>45583</v>
      </c>
      <c r="F5" s="29">
        <f>D5/C5-1</f>
        <v>0.13099428985249029</v>
      </c>
      <c r="G5" s="27">
        <f>D5/'2026'!D$4</f>
        <v>0.33627202523663619</v>
      </c>
    </row>
    <row r="6" spans="2:7" x14ac:dyDescent="0.2">
      <c r="B6" s="31" t="s">
        <v>264</v>
      </c>
      <c r="C6" s="15">
        <v>197239</v>
      </c>
      <c r="D6" s="16">
        <v>191832</v>
      </c>
      <c r="E6" s="103">
        <f t="shared" ref="E6:E25" si="0">D6-C6</f>
        <v>-5407</v>
      </c>
      <c r="F6" s="29">
        <f t="shared" ref="F6:F23" si="1">D6/C6-1</f>
        <v>-2.7413442574744318E-2</v>
      </c>
      <c r="G6" s="27">
        <f>D6/'2026'!D$4</f>
        <v>0.16390826086287832</v>
      </c>
    </row>
    <row r="7" spans="2:7" x14ac:dyDescent="0.2">
      <c r="B7" s="31" t="s">
        <v>266</v>
      </c>
      <c r="C7" s="15">
        <v>177522</v>
      </c>
      <c r="D7" s="16">
        <v>152550</v>
      </c>
      <c r="E7" s="103">
        <f t="shared" si="0"/>
        <v>-24972</v>
      </c>
      <c r="F7" s="29">
        <f t="shared" si="1"/>
        <v>-0.14066988880251463</v>
      </c>
      <c r="G7" s="27">
        <f>D7/'2026'!D$4</f>
        <v>0.13034428663951836</v>
      </c>
    </row>
    <row r="8" spans="2:7" x14ac:dyDescent="0.2">
      <c r="B8" s="31" t="s">
        <v>267</v>
      </c>
      <c r="C8" s="15">
        <v>142625</v>
      </c>
      <c r="D8" s="16">
        <v>136460</v>
      </c>
      <c r="E8" s="103">
        <f t="shared" si="0"/>
        <v>-6165</v>
      </c>
      <c r="F8" s="29">
        <f t="shared" si="1"/>
        <v>-4.3225241016652038E-2</v>
      </c>
      <c r="G8" s="27">
        <f>D8/'2026'!D$4</f>
        <v>0.1165964035059238</v>
      </c>
    </row>
    <row r="9" spans="2:7" x14ac:dyDescent="0.2">
      <c r="B9" s="31" t="s">
        <v>268</v>
      </c>
      <c r="C9" s="15">
        <v>89371</v>
      </c>
      <c r="D9" s="16">
        <v>97019</v>
      </c>
      <c r="E9" s="103">
        <f t="shared" si="0"/>
        <v>7648</v>
      </c>
      <c r="F9" s="29">
        <f t="shared" si="1"/>
        <v>8.557585794049527E-2</v>
      </c>
      <c r="G9" s="27">
        <f>D9/'2026'!D$4</f>
        <v>8.2896573880560029E-2</v>
      </c>
    </row>
    <row r="10" spans="2:7" x14ac:dyDescent="0.2">
      <c r="B10" s="31" t="s">
        <v>269</v>
      </c>
      <c r="C10" s="15">
        <v>65661</v>
      </c>
      <c r="D10" s="16">
        <v>48580</v>
      </c>
      <c r="E10" s="103">
        <f t="shared" si="0"/>
        <v>-17081</v>
      </c>
      <c r="F10" s="29">
        <f t="shared" si="1"/>
        <v>-0.2601391998294269</v>
      </c>
      <c r="G10" s="27">
        <f>D10/'2026'!D$4</f>
        <v>4.1508524712866618E-2</v>
      </c>
    </row>
    <row r="11" spans="2:7" x14ac:dyDescent="0.2">
      <c r="B11" s="31" t="s">
        <v>272</v>
      </c>
      <c r="C11" s="15">
        <v>47761</v>
      </c>
      <c r="D11" s="16">
        <v>46585</v>
      </c>
      <c r="E11" s="103">
        <f t="shared" si="0"/>
        <v>-1176</v>
      </c>
      <c r="F11" s="29">
        <f t="shared" si="1"/>
        <v>-2.4622600029312602E-2</v>
      </c>
      <c r="G11" s="27">
        <f>D11/'2026'!D$4</f>
        <v>3.9803923914139387E-2</v>
      </c>
    </row>
    <row r="12" spans="2:7" x14ac:dyDescent="0.2">
      <c r="B12" s="31" t="s">
        <v>270</v>
      </c>
      <c r="C12" s="15">
        <v>33314</v>
      </c>
      <c r="D12" s="16">
        <v>32936</v>
      </c>
      <c r="E12" s="103">
        <f t="shared" si="0"/>
        <v>-378</v>
      </c>
      <c r="F12" s="29">
        <f t="shared" si="1"/>
        <v>-1.1346581016989821E-2</v>
      </c>
      <c r="G12" s="27">
        <f>D12/'2026'!D$4</f>
        <v>2.8141720254075235E-2</v>
      </c>
    </row>
    <row r="13" spans="2:7" x14ac:dyDescent="0.2">
      <c r="B13" s="31" t="s">
        <v>271</v>
      </c>
      <c r="C13" s="15">
        <v>24590</v>
      </c>
      <c r="D13" s="16">
        <v>19928</v>
      </c>
      <c r="E13" s="103">
        <f t="shared" si="0"/>
        <v>-4662</v>
      </c>
      <c r="F13" s="29">
        <f t="shared" si="1"/>
        <v>-0.18958926392842623</v>
      </c>
      <c r="G13" s="27">
        <f>D13/'2026'!D$4</f>
        <v>1.7027210384479331E-2</v>
      </c>
    </row>
    <row r="14" spans="2:7" x14ac:dyDescent="0.2">
      <c r="B14" s="31" t="s">
        <v>275</v>
      </c>
      <c r="C14" s="15">
        <v>13364</v>
      </c>
      <c r="D14" s="16">
        <v>16768</v>
      </c>
      <c r="E14" s="103">
        <f t="shared" si="0"/>
        <v>3404</v>
      </c>
      <c r="F14" s="29">
        <f t="shared" si="1"/>
        <v>0.25471415743789283</v>
      </c>
      <c r="G14" s="27">
        <f>D14/'2026'!D$4</f>
        <v>1.4327191074214644E-2</v>
      </c>
    </row>
    <row r="15" spans="2:7" x14ac:dyDescent="0.2">
      <c r="B15" s="31" t="s">
        <v>274</v>
      </c>
      <c r="C15" s="15">
        <v>12199</v>
      </c>
      <c r="D15" s="16">
        <v>12572</v>
      </c>
      <c r="E15" s="103">
        <f t="shared" si="0"/>
        <v>373</v>
      </c>
      <c r="F15" s="29">
        <f t="shared" si="1"/>
        <v>3.0576276743995434E-2</v>
      </c>
      <c r="G15" s="27">
        <f>D15/'2026'!D$4</f>
        <v>1.0741975559698623E-2</v>
      </c>
    </row>
    <row r="16" spans="2:7" x14ac:dyDescent="0.2">
      <c r="B16" s="31" t="s">
        <v>273</v>
      </c>
      <c r="C16" s="15">
        <v>11135</v>
      </c>
      <c r="D16" s="16">
        <v>12071</v>
      </c>
      <c r="E16" s="103">
        <f t="shared" si="0"/>
        <v>936</v>
      </c>
      <c r="F16" s="29">
        <f t="shared" si="1"/>
        <v>8.4059272563987486E-2</v>
      </c>
      <c r="G16" s="27">
        <f>D16/'2026'!D$4</f>
        <v>1.0313902877912987E-2</v>
      </c>
    </row>
    <row r="17" spans="2:7" x14ac:dyDescent="0.2">
      <c r="B17" s="31" t="s">
        <v>277</v>
      </c>
      <c r="C17" s="15">
        <v>3846</v>
      </c>
      <c r="D17" s="16">
        <v>3464</v>
      </c>
      <c r="E17" s="103">
        <f t="shared" si="0"/>
        <v>-382</v>
      </c>
      <c r="F17" s="29">
        <f t="shared" si="1"/>
        <v>-9.9323972958918372E-2</v>
      </c>
      <c r="G17" s="27">
        <f>D17/'2026'!D$4</f>
        <v>2.959768003404075E-3</v>
      </c>
    </row>
    <row r="18" spans="2:7" x14ac:dyDescent="0.2">
      <c r="B18" s="31" t="s">
        <v>278</v>
      </c>
      <c r="C18" s="15">
        <v>2630</v>
      </c>
      <c r="D18" s="16">
        <v>3053</v>
      </c>
      <c r="E18" s="103">
        <f t="shared" si="0"/>
        <v>423</v>
      </c>
      <c r="F18" s="29">
        <f t="shared" si="1"/>
        <v>0.16083650190114063</v>
      </c>
      <c r="G18" s="27">
        <f>D18/'2026'!D$4</f>
        <v>2.6085946057715476E-3</v>
      </c>
    </row>
    <row r="19" spans="2:7" x14ac:dyDescent="0.2">
      <c r="B19" s="31" t="s">
        <v>276</v>
      </c>
      <c r="C19" s="15">
        <v>1887</v>
      </c>
      <c r="D19" s="16">
        <v>1878</v>
      </c>
      <c r="E19" s="103">
        <f t="shared" si="0"/>
        <v>-9</v>
      </c>
      <c r="F19" s="29">
        <f t="shared" si="1"/>
        <v>-4.7694753577106619E-3</v>
      </c>
      <c r="G19" s="27">
        <f>D19/'2026'!D$4</f>
        <v>1.6046317293281907E-3</v>
      </c>
    </row>
    <row r="20" spans="2:7" x14ac:dyDescent="0.2">
      <c r="B20" s="31" t="s">
        <v>279</v>
      </c>
      <c r="C20" s="15">
        <v>699</v>
      </c>
      <c r="D20" s="16">
        <v>569</v>
      </c>
      <c r="E20" s="103">
        <f t="shared" si="0"/>
        <v>-130</v>
      </c>
      <c r="F20" s="29">
        <f t="shared" si="1"/>
        <v>-0.18597997138769673</v>
      </c>
      <c r="G20" s="27">
        <f>D20/'2026'!D$4</f>
        <v>4.8617436314576175E-4</v>
      </c>
    </row>
    <row r="21" spans="2:7" x14ac:dyDescent="0.2">
      <c r="B21" s="31" t="s">
        <v>280</v>
      </c>
      <c r="C21" s="15">
        <v>267</v>
      </c>
      <c r="D21" s="16">
        <v>370</v>
      </c>
      <c r="E21" s="103">
        <f t="shared" si="0"/>
        <v>103</v>
      </c>
      <c r="F21" s="29">
        <f t="shared" si="1"/>
        <v>0.38576779026217234</v>
      </c>
      <c r="G21" s="27">
        <f>D21/'2026'!D$4</f>
        <v>3.1614150151833362E-4</v>
      </c>
    </row>
    <row r="22" spans="2:7" x14ac:dyDescent="0.2">
      <c r="B22" s="31" t="s">
        <v>281</v>
      </c>
      <c r="C22" s="15">
        <v>233</v>
      </c>
      <c r="D22" s="16">
        <v>164</v>
      </c>
      <c r="E22" s="103">
        <f t="shared" si="0"/>
        <v>-69</v>
      </c>
      <c r="F22" s="29">
        <f t="shared" si="1"/>
        <v>-0.29613733905579398</v>
      </c>
      <c r="G22" s="27">
        <f>D22/'2026'!D$4</f>
        <v>1.4012758445677492E-4</v>
      </c>
    </row>
    <row r="23" spans="2:7" x14ac:dyDescent="0.2">
      <c r="B23" s="31" t="s">
        <v>282</v>
      </c>
      <c r="C23" s="15">
        <v>16</v>
      </c>
      <c r="D23" s="16">
        <v>3</v>
      </c>
      <c r="E23" s="103">
        <f t="shared" si="0"/>
        <v>-13</v>
      </c>
      <c r="F23" s="29">
        <f t="shared" si="1"/>
        <v>-0.8125</v>
      </c>
      <c r="G23" s="27">
        <f>D23/'2026'!D$4</f>
        <v>2.563309471770273E-6</v>
      </c>
    </row>
    <row r="24" spans="2:7" x14ac:dyDescent="0.2">
      <c r="B24" s="31" t="s">
        <v>283</v>
      </c>
      <c r="C24" s="15">
        <v>0</v>
      </c>
      <c r="D24" s="16">
        <v>0</v>
      </c>
      <c r="E24" s="103">
        <f t="shared" si="0"/>
        <v>0</v>
      </c>
      <c r="F24" s="29"/>
      <c r="G24" s="27">
        <f>D24/'2026'!D$4</f>
        <v>0</v>
      </c>
    </row>
    <row r="25" spans="2:7" ht="13.5" thickBot="1" x14ac:dyDescent="0.25">
      <c r="B25" s="32" t="s">
        <v>284</v>
      </c>
      <c r="C25" s="69">
        <v>0</v>
      </c>
      <c r="D25" s="18">
        <v>0</v>
      </c>
      <c r="E25" s="104">
        <f t="shared" si="0"/>
        <v>0</v>
      </c>
      <c r="F25" s="30"/>
      <c r="G25" s="28">
        <f>D25/'2026'!D$4</f>
        <v>0</v>
      </c>
    </row>
    <row r="26" spans="2:7" x14ac:dyDescent="0.2">
      <c r="B26" s="39"/>
      <c r="C26" s="39"/>
    </row>
    <row r="27" spans="2:7" x14ac:dyDescent="0.2">
      <c r="B27" s="39"/>
      <c r="C27" s="39"/>
    </row>
    <row r="29" spans="2:7" x14ac:dyDescent="0.2">
      <c r="B29" s="36" t="s">
        <v>209</v>
      </c>
    </row>
    <row r="30" spans="2:7" x14ac:dyDescent="0.2">
      <c r="B30" s="163"/>
      <c r="C30" s="163"/>
      <c r="D30" s="163"/>
      <c r="E30" s="163"/>
      <c r="F30" s="163"/>
      <c r="G30" s="163"/>
    </row>
    <row r="33" spans="4:4" x14ac:dyDescent="0.2">
      <c r="D33" s="114"/>
    </row>
  </sheetData>
  <mergeCells count="2">
    <mergeCell ref="B30:G30"/>
    <mergeCell ref="B2:G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4"/>
  <sheetViews>
    <sheetView workbookViewId="0">
      <selection activeCell="B2" sqref="B2:H2"/>
    </sheetView>
  </sheetViews>
  <sheetFormatPr defaultRowHeight="12.75" x14ac:dyDescent="0.2"/>
  <cols>
    <col min="1" max="1" width="5.5703125" customWidth="1"/>
    <col min="2" max="2" width="19.140625" customWidth="1"/>
    <col min="3" max="3" width="18.5703125" customWidth="1"/>
    <col min="4" max="4" width="17.140625" customWidth="1"/>
    <col min="5" max="5" width="15.42578125" customWidth="1"/>
    <col min="6" max="8" width="15.140625" customWidth="1"/>
  </cols>
  <sheetData>
    <row r="1" spans="2:8" ht="21.75" customHeight="1" thickBot="1" x14ac:dyDescent="0.25"/>
    <row r="2" spans="2:8" ht="24.75" customHeight="1" thickBot="1" x14ac:dyDescent="0.25">
      <c r="B2" s="159" t="s">
        <v>249</v>
      </c>
      <c r="C2" s="160"/>
      <c r="D2" s="160"/>
      <c r="E2" s="160"/>
      <c r="F2" s="160"/>
      <c r="G2" s="160"/>
      <c r="H2" s="161"/>
    </row>
    <row r="3" spans="2:8" ht="13.5" thickBot="1" x14ac:dyDescent="0.25"/>
    <row r="4" spans="2:8" ht="36" customHeight="1" thickBot="1" x14ac:dyDescent="0.25">
      <c r="B4" s="164" t="s">
        <v>255</v>
      </c>
      <c r="C4" s="165"/>
      <c r="D4" s="43" t="s">
        <v>288</v>
      </c>
      <c r="E4" s="43" t="s">
        <v>289</v>
      </c>
      <c r="F4" s="43" t="s">
        <v>290</v>
      </c>
      <c r="G4" s="92" t="s">
        <v>291</v>
      </c>
      <c r="H4" s="98" t="s">
        <v>222</v>
      </c>
    </row>
    <row r="5" spans="2:8" x14ac:dyDescent="0.2">
      <c r="B5" s="166" t="s">
        <v>256</v>
      </c>
      <c r="C5" s="76" t="s">
        <v>257</v>
      </c>
      <c r="D5" s="15">
        <v>298788</v>
      </c>
      <c r="E5" s="16">
        <v>315129</v>
      </c>
      <c r="F5" s="103">
        <f>E5-D5</f>
        <v>16341</v>
      </c>
      <c r="G5" s="29">
        <f>E5/D5-1</f>
        <v>5.469095144383318E-2</v>
      </c>
      <c r="H5" s="73">
        <f>E5/'2026'!D4</f>
        <v>0.26925771684316474</v>
      </c>
    </row>
    <row r="6" spans="2:8" x14ac:dyDescent="0.2">
      <c r="B6" s="167"/>
      <c r="C6" s="16" t="s">
        <v>258</v>
      </c>
      <c r="D6" s="15">
        <v>587958</v>
      </c>
      <c r="E6" s="16">
        <v>567308</v>
      </c>
      <c r="F6" s="103">
        <f t="shared" ref="F6:F10" si="0">E6-D6</f>
        <v>-20650</v>
      </c>
      <c r="G6" s="29">
        <f t="shared" ref="G6:G10" si="1">E6/D6-1</f>
        <v>-3.51215563016406E-2</v>
      </c>
      <c r="H6" s="73">
        <f>E6/'2026'!D$4</f>
        <v>0.48472865660368331</v>
      </c>
    </row>
    <row r="7" spans="2:8" x14ac:dyDescent="0.2">
      <c r="B7" s="167"/>
      <c r="C7" s="16" t="s">
        <v>259</v>
      </c>
      <c r="D7" s="15">
        <v>266245</v>
      </c>
      <c r="E7" s="16">
        <v>269293</v>
      </c>
      <c r="F7" s="103">
        <f t="shared" si="0"/>
        <v>3048</v>
      </c>
      <c r="G7" s="29">
        <f t="shared" si="1"/>
        <v>1.1448102311780506E-2</v>
      </c>
      <c r="H7" s="73">
        <f>E7/'2026'!D$4</f>
        <v>0.23009376586047736</v>
      </c>
    </row>
    <row r="8" spans="2:8" x14ac:dyDescent="0.2">
      <c r="B8" s="168"/>
      <c r="C8" s="16" t="s">
        <v>260</v>
      </c>
      <c r="D8" s="15">
        <v>19345</v>
      </c>
      <c r="E8" s="16">
        <v>18632</v>
      </c>
      <c r="F8" s="103">
        <f t="shared" si="0"/>
        <v>-713</v>
      </c>
      <c r="G8" s="29">
        <f t="shared" si="1"/>
        <v>-3.6857069010080123E-2</v>
      </c>
      <c r="H8" s="73">
        <f>E8/'2026'!D$4</f>
        <v>1.5919860692674575E-2</v>
      </c>
    </row>
    <row r="9" spans="2:8" x14ac:dyDescent="0.2">
      <c r="B9" s="169" t="s">
        <v>261</v>
      </c>
      <c r="C9" s="16" t="s">
        <v>262</v>
      </c>
      <c r="D9" s="15">
        <v>788598</v>
      </c>
      <c r="E9" s="16">
        <v>765351</v>
      </c>
      <c r="F9" s="103">
        <f t="shared" si="0"/>
        <v>-23247</v>
      </c>
      <c r="G9" s="29">
        <f t="shared" si="1"/>
        <v>-2.9478897993654551E-2</v>
      </c>
      <c r="H9" s="73">
        <f>E9/'2026'!D$4</f>
        <v>0.65394382250961669</v>
      </c>
    </row>
    <row r="10" spans="2:8" ht="13.5" thickBot="1" x14ac:dyDescent="0.25">
      <c r="B10" s="170"/>
      <c r="C10" s="18" t="s">
        <v>263</v>
      </c>
      <c r="D10" s="69">
        <v>383738</v>
      </c>
      <c r="E10" s="18">
        <v>405011</v>
      </c>
      <c r="F10" s="104">
        <f t="shared" si="0"/>
        <v>21273</v>
      </c>
      <c r="G10" s="30">
        <f t="shared" si="1"/>
        <v>5.5436261199047321E-2</v>
      </c>
      <c r="H10" s="74">
        <f>E10/'2026'!D$4</f>
        <v>0.34605617749038331</v>
      </c>
    </row>
    <row r="14" spans="2:8" x14ac:dyDescent="0.2">
      <c r="B14" s="36" t="s">
        <v>209</v>
      </c>
    </row>
  </sheetData>
  <mergeCells count="4">
    <mergeCell ref="B4:C4"/>
    <mergeCell ref="B5:B8"/>
    <mergeCell ref="B9:B10"/>
    <mergeCell ref="B2:H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C7"/>
  <sheetViews>
    <sheetView workbookViewId="0">
      <selection activeCell="B2" sqref="B2"/>
    </sheetView>
  </sheetViews>
  <sheetFormatPr defaultRowHeight="12.75" x14ac:dyDescent="0.2"/>
  <cols>
    <col min="2" max="2" width="35.85546875" customWidth="1"/>
    <col min="3" max="3" width="68.7109375" customWidth="1"/>
  </cols>
  <sheetData>
    <row r="1" spans="2:3" ht="13.5" thickBot="1" x14ac:dyDescent="0.25"/>
    <row r="2" spans="2:3" ht="29.25" customHeight="1" x14ac:dyDescent="0.2">
      <c r="B2" s="97" t="s">
        <v>238</v>
      </c>
      <c r="C2" s="97" t="s">
        <v>239</v>
      </c>
    </row>
    <row r="3" spans="2:3" ht="66" customHeight="1" x14ac:dyDescent="0.2">
      <c r="B3" s="59" t="s">
        <v>250</v>
      </c>
      <c r="C3" s="60" t="s">
        <v>245</v>
      </c>
    </row>
    <row r="4" spans="2:3" ht="74.25" customHeight="1" x14ac:dyDescent="0.2">
      <c r="B4" s="59" t="s">
        <v>253</v>
      </c>
      <c r="C4" s="60" t="s">
        <v>244</v>
      </c>
    </row>
    <row r="5" spans="2:3" ht="20.25" customHeight="1" x14ac:dyDescent="0.2">
      <c r="B5" s="61" t="s">
        <v>240</v>
      </c>
      <c r="C5" s="65" t="s">
        <v>243</v>
      </c>
    </row>
    <row r="6" spans="2:3" ht="24.75" customHeight="1" x14ac:dyDescent="0.2">
      <c r="B6" s="61" t="s">
        <v>241</v>
      </c>
      <c r="C6" s="62" t="s">
        <v>246</v>
      </c>
    </row>
    <row r="7" spans="2:3" ht="56.25" customHeight="1" x14ac:dyDescent="0.2">
      <c r="B7" s="63" t="s">
        <v>242</v>
      </c>
      <c r="C7" s="64"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2026</vt:lpstr>
      <vt:lpstr>ტოპ 15</vt:lpstr>
      <vt:lpstr>ვიზიტის ტიპები</vt:lpstr>
      <vt:lpstr>რეგიონები</vt:lpstr>
      <vt:lpstr>ევროკავშირის ქვეყნები</vt:lpstr>
      <vt:lpstr>საზღვრის ტიპი</vt:lpstr>
      <vt:lpstr>საზღვარი</vt:lpstr>
      <vt:lpstr>დემოგრაფია</vt:lpstr>
      <vt:lpstr>ტერმინები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Ana Arabuli</cp:lastModifiedBy>
  <cp:lastPrinted>2022-08-03T08:32:50Z</cp:lastPrinted>
  <dcterms:created xsi:type="dcterms:W3CDTF">2012-06-01T06:45:51Z</dcterms:created>
  <dcterms:modified xsi:type="dcterms:W3CDTF">2026-04-14T12:59:52Z</dcterms:modified>
</cp:coreProperties>
</file>